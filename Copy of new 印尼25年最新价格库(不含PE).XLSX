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C:\Users\m1774\Downloads\"/>
    </mc:Choice>
  </mc:AlternateContent>
  <xr:revisionPtr revIDLastSave="0" documentId="13_ncr:1_{E595A6BA-F207-4319-9B7B-804B6975FDC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正常销售价格（面价下浮）" sheetId="1" r:id="rId1"/>
    <sheet name="需核查" sheetId="5" r:id="rId2"/>
    <sheet name="Sheet1" sheetId="4" state="hidden" r:id="rId3"/>
  </sheets>
  <definedNames>
    <definedName name="_xlnm._FilterDatabase" localSheetId="0" hidden="1">'正常销售价格（面价下浮）'!$A$1:$T$1471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1" l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C1471" i="1" l="1"/>
  <c r="A2" i="1"/>
  <c r="A3" i="1"/>
  <c r="A4" i="1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</calcChain>
</file>

<file path=xl/sharedStrings.xml><?xml version="1.0" encoding="utf-8"?>
<sst xmlns="http://schemas.openxmlformats.org/spreadsheetml/2006/main" count="10005" uniqueCount="1610">
  <si>
    <t>序号</t>
  </si>
  <si>
    <t xml:space="preserve">Material </t>
  </si>
  <si>
    <t>Describrition</t>
  </si>
  <si>
    <t>面价</t>
  </si>
  <si>
    <t>折扣</t>
  </si>
  <si>
    <t>币种</t>
  </si>
  <si>
    <t>仓位</t>
  </si>
  <si>
    <t>仓位描述</t>
  </si>
  <si>
    <t>产品分类</t>
  </si>
  <si>
    <t>是否参与返点</t>
  </si>
  <si>
    <t>异径顺水三通印尼(日标)PVC-U管件(D排水系列)灰色 2-1/2＂×2＂</t>
  </si>
  <si>
    <t>IDR</t>
  </si>
  <si>
    <t>Z003</t>
  </si>
  <si>
    <t>排水仓</t>
  </si>
  <si>
    <t>印尼日标排水配件</t>
  </si>
  <si>
    <t>参与返点</t>
  </si>
  <si>
    <t>LSGT202412310081</t>
  </si>
  <si>
    <t>清扫口(带堵头)印尼(日标)PVC-U管件(D排水系列)灰色 3＂</t>
  </si>
  <si>
    <t>顺水三通印尼(日标)PVC-U管件(D排水系列)灰色 3＂</t>
  </si>
  <si>
    <t>异径顺水三通印尼(日标)PVC-U管件(D排水系列)灰色 2＂×1-1/2＂</t>
  </si>
  <si>
    <t>异径套印尼(日标)PVC-U管件(D排水系列)灰色 4＂×3＂</t>
  </si>
  <si>
    <t>异径套印尼(日标)PVC-U管件(D排水系列)灰色 2-1/2＂×2＂</t>
  </si>
  <si>
    <t>异径顺水三通印尼(日标)PVC-U管件(D排水系列)灰色 4＂×3＂</t>
  </si>
  <si>
    <t>直通印尼(日标)PVC-U管件(D排水系列)灰色 2-1/2＂</t>
  </si>
  <si>
    <t>异径顺水三通印尼(日标)PVC-U管件(D排水系列)灰2-1/2＂×1-1/2＂</t>
  </si>
  <si>
    <t>异径套印尼(日标)PVC-U管件(D排水系列)灰色 2-1/2＂×1-1/2＂</t>
  </si>
  <si>
    <t>90°顺水弯头印尼(日标)PVC-U管件(D排水系列)灰色 3＂</t>
  </si>
  <si>
    <t>45°斜三通印尼(日标)PVC-U管件(D排水系列)灰色 4＂</t>
  </si>
  <si>
    <t>45°异径斜三通印尼(日标)PVC-U管件(D排水系列)灰色 4＂×3＂</t>
  </si>
  <si>
    <t>45°弯头印尼(日标)PVC-U管件(D排水系列)灰色 1-1/4＂</t>
  </si>
  <si>
    <t>90°弯头印尼(日标)PVC-U管件(D排水系列)灰色 6＂</t>
  </si>
  <si>
    <t>直通印尼(日标)PVC-U管件(D排水系列)灰色 1-1/2＂</t>
  </si>
  <si>
    <t>清扫口(带堵头)印尼(日标)PVC-U管件(D排水系列)灰色 2＂</t>
  </si>
  <si>
    <t>45°斜三通印尼(日标)PVC-U管件(D排水系列)灰色 2＂</t>
  </si>
  <si>
    <t>异径顺水三通印尼(日标)PVC-U管件(D排水系列)灰1-1/2＂×1-1/4＂</t>
  </si>
  <si>
    <t>45°异径斜三通印尼(日标)PVC-U管件(D排水系列)灰色 2＂×1-1/4＂</t>
  </si>
  <si>
    <t>90°顺水弯头印尼(日标)PVC-U管件(D排水系列)灰色 4＂</t>
  </si>
  <si>
    <t>90°顺水弯头印尼(日标)PVC-U管件(D排水系列)灰色 6＂</t>
  </si>
  <si>
    <t>短型异径顺水三通印尼(日标)PVC-U管件(D排水系列)灰色 3＂×1-1/2＂</t>
  </si>
  <si>
    <t>顺水三通印尼(日标)PVC-U管件(D排水系列)灰色 2＂</t>
  </si>
  <si>
    <t>异径顺水三通印尼(日标)PVC-U管件(D排水系列)灰色 3＂×2＂</t>
  </si>
  <si>
    <t>异径顺水三通印尼(日标)PVC-U管件(D排水系列)灰色 6＂×4＂</t>
  </si>
  <si>
    <t>异径套印尼(日标)PVC-U管件(D排水系列)灰色 2＂×1-1/2＂</t>
  </si>
  <si>
    <t>异径套印尼(日标)PVC-U管件(D排水系列)灰色 3＂×2-1/2＂</t>
  </si>
  <si>
    <t>清扫口(带螺帽)印尼(日标)PVC-U管件(D排水系列)灰色 4＂</t>
  </si>
  <si>
    <t>45°弯头印尼(日标)PVC-U管件(D排水系列)灰色 1-1/2＂</t>
  </si>
  <si>
    <t>45°弯头印尼(日标)PVC-U管件(D排水系列)灰色 6＂</t>
  </si>
  <si>
    <t>45°异径斜三通印尼(日标)PVC-U管件(D排水系列)灰色 4＂×2＂</t>
  </si>
  <si>
    <t>90°顺水弯头印尼(日标)PVC-U管件(D排水系列)灰色 1-1/4＂</t>
  </si>
  <si>
    <t>短型异径顺水三通印尼(日标)PVC-U管件(D排水系列)灰色 3＂×2＂</t>
  </si>
  <si>
    <t>短型异径顺水三通印尼(日标)PVC-U管件(D排水系列)灰色 3＂×2-1/2＂</t>
  </si>
  <si>
    <t>顺水三通印尼(日标)PVC-U管件(D排水系列)灰色 4＂</t>
  </si>
  <si>
    <t>45°异径斜三通印尼日标PVC-U管件D排水系列灰色 1-1/2＂×1-1/4＂</t>
  </si>
  <si>
    <t>短型异径顺水三通印尼(日标)PVC-U管件(D排水系列)灰色 4＂×3＂</t>
  </si>
  <si>
    <t>45°斜三通印尼(日标)PVC-U管件(D排水系列)灰色 3＂</t>
  </si>
  <si>
    <t>短型异径顺水三通印尼(日标)PVC-U管件(D排水系列)灰色 4＂×2＂</t>
  </si>
  <si>
    <t>顺水四通印尼(日标)PVC-U管件(D排水系列)灰色 4＂</t>
  </si>
  <si>
    <t>顺水三通印尼(日标)PVC-U管件(D排水系列)灰色 2-1/2＂</t>
  </si>
  <si>
    <t>短型异径顺水三通印尼(日标)PVC-U管件(D排水系列)灰色 6＂×4＂</t>
  </si>
  <si>
    <t>顺水三通印尼(日标)PVC-U管件(D排水系列)灰色 6＂</t>
  </si>
  <si>
    <t>P型存水弯印尼(日标)PVC-U管件(D排水系列)灰色 2＂</t>
  </si>
  <si>
    <t>45°异径斜三通印尼(日标)PVC-U管件(D排水系列)灰色 3＂×2＂</t>
  </si>
  <si>
    <t>顺水三通印尼(日标)PVC-U管件(D排水系列)灰色 1-1/2＂</t>
  </si>
  <si>
    <t>顺水四通印尼(日标)PVC-U管件(D排水系列)灰色 2＂</t>
  </si>
  <si>
    <t>顺水四通印尼(日标)PVC-U管件(D排水系列)灰色 3＂×2＂</t>
  </si>
  <si>
    <t>管帽印尼(日标)PVC-U管件(D排水系列)灰色 4＂</t>
  </si>
  <si>
    <t>异径顺水三通印尼(日标)PVC-U管件(D排水系列)灰色 3＂×2-1/2＂</t>
  </si>
  <si>
    <t>直通印尼(日标)PVC-U管件(D排水系列)灰色 1-1/4＂</t>
  </si>
  <si>
    <t>异径顺水三通印尼(日标)PVC-U管件(D排水系列)灰色 4＂×2＂</t>
  </si>
  <si>
    <t>异径套印尼(日标)PVC-U管件(D排水系列)灰色 2＂×1-1/4＂</t>
  </si>
  <si>
    <t>异径套印尼(日标)PVC-U管件(D排水系列)灰色 3＂×1-1/2＂</t>
  </si>
  <si>
    <t>异径套印尼(日标)PVC-U管件(D排水系列)灰色 3＂×2＂</t>
  </si>
  <si>
    <t>异径套印尼(日标)PVC-U管件(D排水系列)灰色 4＂×2＂</t>
  </si>
  <si>
    <t>异径套印尼(日标)PVC-U管件(D排水系列)灰色 4＂×2-1/2＂</t>
  </si>
  <si>
    <t>异径套印尼(日标)PVC-U管件(D排水系列)灰色 6＂×3＂</t>
  </si>
  <si>
    <t>异径套印尼(日标)PVC-U管件(D排水系列)灰色 6＂×4＂</t>
  </si>
  <si>
    <t>直通印尼(日标)PVC-U管件(D排水系列)灰色 2＂</t>
  </si>
  <si>
    <t>直通印尼(日标)PVC-U管件(D排水系列)灰色 3＂</t>
  </si>
  <si>
    <t>直通印尼(日标)PVC-U管件(D排水系列)灰色 4＂</t>
  </si>
  <si>
    <t>直通印尼(日标)PVC-U管件(D排水系列)灰色 6＂</t>
  </si>
  <si>
    <t>清扫口(带堵头)印尼(日标)PVC-U管件(D排水系列)灰色 4＂</t>
  </si>
  <si>
    <t>45°弯头印尼(日标)PVC-U管件(D排水系列)灰色 2-1/2＂</t>
  </si>
  <si>
    <t>90°弯头印尼(日标)PVC-U管件(D排水系列)灰色 2-1/2＂</t>
  </si>
  <si>
    <t>管帽印尼(日标)PVC-U管件(D排水系列)灰色 1-1/4＂</t>
  </si>
  <si>
    <t>管帽印尼(日标)PVC-U管件(D排水系列)灰色 1-1/2＂</t>
  </si>
  <si>
    <t>管帽印尼(日标)PVC-U管件(D排水系列)灰色 2＂</t>
  </si>
  <si>
    <t>管帽印尼(日标)PVC-U管件(D排水系列)灰色 3＂</t>
  </si>
  <si>
    <t>短型顺水三通印尼(日标)PVC-U管件(D排水系列)灰色 2-1/2＂</t>
  </si>
  <si>
    <t>45°斜三通印尼(日标)PVC-U管件(D排水系列)灰色 6＂</t>
  </si>
  <si>
    <t>45°异径斜三通印尼(日标)PVC-U管件(D排水系列)灰色 6＂×4＂</t>
  </si>
  <si>
    <t>短型顺水三通印尼(日标)PVC-U管件(D排水系列)灰色 6＂</t>
  </si>
  <si>
    <t>45°斜三通印尼(日标)PVC-U管件(D排水系列)灰色 1-1/2＂</t>
  </si>
  <si>
    <t>90°顺水弯头印尼(日标)PVC-U管件(D排水系列)灰色 2＂</t>
  </si>
  <si>
    <t>短型顺水三通印尼(日标)PVC-U管件(D排水系列)灰色 1-1/4＂</t>
  </si>
  <si>
    <t>短型顺水三通印尼(日标)PVC-U管件(D排水系列)灰色 1-1/2＂</t>
  </si>
  <si>
    <t>异径套印尼(日标)PVC-U管件(D排水系列)灰色 1-1/2＂×1-1/4＂</t>
  </si>
  <si>
    <t>印尼(日标)PVC-U排水扩直口管(D系列)白色 140(5＂) 4M</t>
  </si>
  <si>
    <t>印尼日标排水管材</t>
  </si>
  <si>
    <t>印尼(日标)PVC-U排水扩直口管(D系列)白色 267(10＂) 4M</t>
  </si>
  <si>
    <t>印尼(日标)PVC-U排水扩直口管(D系列)白色 216(8＂) 4M</t>
  </si>
  <si>
    <t>印尼(日标)PVC-U排水扩直口管(D系列)白色 318(12＂) 4M</t>
  </si>
  <si>
    <t>印尼(日标)PVC-U排水扩直口管(D系列)白色 318(12＂) 6M</t>
  </si>
  <si>
    <t>印尼(日标)PVC-U排水扩直口管(D系列)白色 140(5＂) 5.8M</t>
  </si>
  <si>
    <t>印尼(日标)PVC-U排水扩直口管(D系列)白色 216(8＂) 5.8M</t>
  </si>
  <si>
    <t>印尼(日标)PVC-U排水扩直口管(D系列)白色 267(10＂) 5.8M</t>
  </si>
  <si>
    <t>印尼(日标)PVC-U排水扩直口管(D系列)白色 318(12＂) 5.8M</t>
  </si>
  <si>
    <t>活接头(螺纹连接)印尼(日标)PVC-U管件(AW给水系列)灰色 1/2＂</t>
  </si>
  <si>
    <t>Z001</t>
  </si>
  <si>
    <t>给水仓</t>
  </si>
  <si>
    <t>印尼日标给水配件</t>
  </si>
  <si>
    <t>活接头(胶粘连接)印尼(日标)PVC-U管件(AW给水系列)灰色 1/2＂</t>
  </si>
  <si>
    <t>外螺纹异径直接头印尼(日标)PVC-U管件(AW给水系列)灰色 1/2＂×1＂</t>
  </si>
  <si>
    <t>内螺纹弯头印尼(日标)PVC-U管件(AW给水系列)灰色 1＂</t>
  </si>
  <si>
    <t>铜内丝三通印尼(日标)PVC-U管件(AW给水系列)灰色 1/2＂</t>
  </si>
  <si>
    <t>直通印尼(日标)PVC-U管件(AW给水系列)灰色 3＂</t>
  </si>
  <si>
    <t>外螺纹异径直接头印尼(日标)PVC-U管件(AW给水系列)灰色 3/4＂×1＂</t>
  </si>
  <si>
    <t>内螺纹异径直接头印尼(日标)PVC-U管件(AW给水系列)灰色 1/2＂×1＂</t>
  </si>
  <si>
    <t>管帽印尼(日标)PVC-U管件(AW给水系列)灰色 1＂</t>
  </si>
  <si>
    <t>外螺纹异径直接头印尼(日标)PVC-U管件(AW给水系列)灰色3/4＂×1/2＂</t>
  </si>
  <si>
    <t>外螺纹直接头印尼(日标)PVC-U管件(AW给水系列)灰色 3/4＂</t>
  </si>
  <si>
    <t>外螺纹直接头印尼(日标)PVC-U管件(AW给水系列)灰色 1-1/4＂</t>
  </si>
  <si>
    <t>异径套印尼(日标)PVC-U管件(AW给水系列)灰色 2＂×1＂</t>
  </si>
  <si>
    <t>异径套印尼(日标)PVC-U管件(AW给水系列)灰色 2＂×1-1/4＂</t>
  </si>
  <si>
    <t>管帽印尼(日标)PVC-U管件(AW给水系列)灰色 4＂</t>
  </si>
  <si>
    <t>法兰印尼(日标)PVC-U管件(AW给水系列)灰色 2＂</t>
  </si>
  <si>
    <t>法兰印尼(日标)PVC-U管件(AW给水系列)灰色 3＂</t>
  </si>
  <si>
    <t>法兰印尼(日标)PVC-U管件(AW给水系列)灰色 4＂</t>
  </si>
  <si>
    <t>法兰印尼(日标)PVC-U管件(AW给水系列)灰色 6＂</t>
  </si>
  <si>
    <t>内螺纹弯头印尼(日标)PVC-U管件(AW给水系列)灰色 3/4＂</t>
  </si>
  <si>
    <t>活接头(螺纹连接)印尼(日标)PVC-U管件(AW给水系列)灰色 1-1/2＂</t>
  </si>
  <si>
    <t>异径套印尼(日标)PVC-U管件(AW给水系列)灰色 2＂×1/2＂</t>
  </si>
  <si>
    <t>铜内丝弯头印尼(日标)PVC-U管件(AW给水系列)灰色 3/4＂</t>
  </si>
  <si>
    <t>活接头(胶粘连接)印尼(日标)PVC-U管件(AW给水系列)灰色 1＂</t>
  </si>
  <si>
    <t>活接头(胶粘连接)印尼(日标)PVC-U管件(AW给水系列)灰色 1-1/2＂</t>
  </si>
  <si>
    <t>内螺纹三通印尼(日标)PVC-U管件(AW给水系列)灰色 3/4＂</t>
  </si>
  <si>
    <t>内螺纹直接头印尼(日标)PVC-U管件(AW给水系列)灰色 1＂</t>
  </si>
  <si>
    <t>铜内丝三通印尼(日标)PVC-U管件(AW给水系列)灰色 3/4＂</t>
  </si>
  <si>
    <t>铜内丝三通印尼(日标)PVC-U管件(AW给水系列)灰色 3/4＂×1/2＂</t>
  </si>
  <si>
    <t>铜内丝弯头印尼(日标)PVC-U管件(AW给水系列)灰色 3/4＂×1/2＂</t>
  </si>
  <si>
    <t>45°弯头印尼(日标)PVC-U管件(AW给水系列)灰色 1/2＂</t>
  </si>
  <si>
    <t>管帽印尼(日标)PVC-U管件(AW给水系列)灰色 3＂</t>
  </si>
  <si>
    <t>双头外螺纹直接头印尼(日标)PVC-U管件(AW给水系列)灰色 1＂</t>
  </si>
  <si>
    <t>外螺纹直接头印尼(日标)PVC-U管件(AW给水系列)灰色 2＂</t>
  </si>
  <si>
    <t>外螺纹直接头印尼(日标)PVC-U管件(AW给水系列)灰色 4＂</t>
  </si>
  <si>
    <t>异径三通印尼(日标)PVC-U管件(AW给水系列)灰色 1-1/4＂×1＂</t>
  </si>
  <si>
    <t>异径套印尼(日标)PVC-U管件(AW给水系列)灰色 2＂×3/4＂</t>
  </si>
  <si>
    <t>异径套印尼(日标)PVC-U管件(AW给水系列)灰色 2＂×1-1/2＂</t>
  </si>
  <si>
    <t>异径套印尼(日标)PVC-U管件(AW给水系列)灰色 6＂×4＂</t>
  </si>
  <si>
    <t>铜内丝弯头印尼(日标)PVC-U管件(AW给水系列)灰色 1/2＂</t>
  </si>
  <si>
    <t>活接头(胶粘连接)印尼(日标)PVC-U管件(AW给水系列)灰色 1-1/4＂</t>
  </si>
  <si>
    <t>活接头(螺纹连接)印尼(日标)PVC-U管件(AW给水系列)灰色 1-1/4＂</t>
  </si>
  <si>
    <t>内螺纹异径弯头印尼(日标)PVC-U管件(AW给水系列)灰色 3/4＂×1/2＂</t>
  </si>
  <si>
    <t>内螺纹异径弯头印尼(日标)PVC-U管件(AW给水系列)灰色 1＂×1/2＂</t>
  </si>
  <si>
    <t>外螺纹堵头印尼(日标)PVC-U管件(AW给水系列)灰色 1/2＂</t>
  </si>
  <si>
    <t>外螺纹直接头印尼(日标)PVC-U管件(AW给水系列)灰色 3＂</t>
  </si>
  <si>
    <t>异径套印尼(日标)PVC-U管件(AW给水系列)灰色 4＂×1-1/2＂</t>
  </si>
  <si>
    <t>直通印尼(日标)PVC-U管件(AW给水系列)灰色 2＂</t>
  </si>
  <si>
    <t>活接头(胶粘连接)印尼(日标)PVC-U管件(AW给水系列)灰色 3/4＂</t>
  </si>
  <si>
    <t>活接头(螺纹连接)印尼(日标)PVC-U管件(AW给水系列)灰色 1＂</t>
  </si>
  <si>
    <t>45°弯头印尼(日标)PVC-U管件(AW给水系列)灰色 4＂</t>
  </si>
  <si>
    <t>45°弯头印尼(日标)PVC-U管件(AW给水系列)灰色 6＂</t>
  </si>
  <si>
    <t>内螺纹弯头印尼(日标)PVC-U管件(AW给水系列)灰色 1/2＂</t>
  </si>
  <si>
    <t>内螺纹异径直接头印尼(日标)PVC-U管件(AW给水系列)灰色3/4＂×1/2＂</t>
  </si>
  <si>
    <t>外螺纹堵头印尼(日标)PVC-U管件(AW给水系列)灰色 3/4＂</t>
  </si>
  <si>
    <t>外螺纹堵头印尼(日标)PVC-U管件(AW给水系列)灰色 1＂</t>
  </si>
  <si>
    <t>直通印尼(日标)PVC-U管件(AW给水系列)灰色 6＂</t>
  </si>
  <si>
    <t>活接头(螺纹连接)印尼(日标)PVC-U管件(AW给水系列)灰色 3/4＂</t>
  </si>
  <si>
    <t>90°正三通印尼(日标)PVC-U管件(AW给水系列)灰色 6＂</t>
  </si>
  <si>
    <t>顺水三通印尼(日标)PVC-U管件(AW给水系列)灰色 4＂</t>
  </si>
  <si>
    <t>异径顺水三通印尼(日标)PVC-U管件(AW给水系列)灰色 4＂×2＂</t>
  </si>
  <si>
    <t>异径顺水三通印尼(日标)PVC-U管件(AW给水系列)灰色 6＂×4＂</t>
  </si>
  <si>
    <t>内螺纹异径三通印尼(日标)PVC-U管件(AW给水系列)灰色 1＂×1/2＂</t>
  </si>
  <si>
    <t>内螺纹异径三通印尼(日标)PVC-U管件(AW给水系列)灰色 3/4＂×1/2＂</t>
  </si>
  <si>
    <t>异径套印尼(日标)PVC-U管件(AW给水系列)灰色 1＂×1/2＂</t>
  </si>
  <si>
    <t>90°弯头印尼(日标)PVC-U管件(AW给水系列)灰色 2＂</t>
  </si>
  <si>
    <t>内螺纹异径直接头印尼(日标)PVC-U管件(AW给水系列)灰色 3/4＂×1＂</t>
  </si>
  <si>
    <t>内螺纹直接头印尼(日标)PVC-U管件(AW给水系列)灰色 2＂</t>
  </si>
  <si>
    <t>45°弯头印尼(日标)PVC-U管件(AW给水系列)灰色 2＂</t>
  </si>
  <si>
    <t>异径套印尼(日标)PVC-U管件(AW给水系列)灰色 3/4＂×1/2＂</t>
  </si>
  <si>
    <t>铜内丝直接头印尼(日标)PVC-U管件(AW给水系列)灰色 3/4＂×1/2＂</t>
  </si>
  <si>
    <t>异径套印尼(日标)PVC-U管件(AW给水系列)灰色 1-1/2＂×1/2＂</t>
  </si>
  <si>
    <t>异径套印尼(日标)PVC-U管件(AW给水系列)灰色 1＂×3/4＂</t>
  </si>
  <si>
    <t>内螺纹直接头印尼(日标)PVC-U管件(AW给水系列)灰色 1-1/2＂</t>
  </si>
  <si>
    <t>45°弯头印尼(日标)PVC-U管件(AW给水系列)灰色 1＂</t>
  </si>
  <si>
    <t>异径套印尼(日标)PVC-U管件(AW给水系列)灰色 1-1/4＂×1＂</t>
  </si>
  <si>
    <t>异径套印尼(日标)PVC-U管件(AW给水系列)灰色 1-1/2＂×3/4＂</t>
  </si>
  <si>
    <t>异径三通印尼(日标)PVC-U管件(AW给水系列)灰色 1＂×1/2＂</t>
  </si>
  <si>
    <t>45°弯头印尼(日标)PVC-U管件(AW给水系列)灰色 3/4＂</t>
  </si>
  <si>
    <t>90°弯头印尼(日标)PVC-U管件(AW给水系列)灰色 1-1/4＂</t>
  </si>
  <si>
    <t>90°弯头印尼(日标)PVC-U管件(AW给水系列)灰色 2-1/2＂</t>
  </si>
  <si>
    <t>90°弯头印尼(日标)PVC-U管件(AW给水系列)灰色 3＂</t>
  </si>
  <si>
    <t>90°弯头印尼(日标)PVC-U管件(AW给水系列)灰色 4＂</t>
  </si>
  <si>
    <t>铜内丝直接头印尼(日标)PVC-U管件(AW给水系列)灰色 3/4＂</t>
  </si>
  <si>
    <t>异径套印尼(日标)PVC-U管件(AW给水系列)灰色 1-1/4＂×3/4＂</t>
  </si>
  <si>
    <t>直通印尼(日标)PVC-U管件(AW给水系列)灰色 2-1/2＂</t>
  </si>
  <si>
    <t>内螺纹直接头印尼(日标)PVC-U管件(AW给水系列)灰色 3/4＂</t>
  </si>
  <si>
    <t>异径套印尼(日标)PVC-U管件(AW给水系列)灰色 1-1/2＂×1-1/4＂</t>
  </si>
  <si>
    <t>异径套印尼(日标)PVC-U管件(AW给水系列)灰色 3＂×2＂</t>
  </si>
  <si>
    <t>异径套印尼(日标)PVC-U管件(AW给水系列)灰色 4＂×2＂</t>
  </si>
  <si>
    <t>异径套印尼(日标)PVC-U管件(AW给水系列)灰色 4＂×3＂</t>
  </si>
  <si>
    <t>异径套印尼(日标)PVC-U管件(AW给水系列)灰色 6＂×3＂</t>
  </si>
  <si>
    <t>直通印尼(日标)PVC-U管件(AW给水系列)灰色 1-1/4＂</t>
  </si>
  <si>
    <t>直通印尼(日标)PVC-U管件(AW给水系列)灰色 1-1/2＂</t>
  </si>
  <si>
    <t>直通印尼(日标)PVC-U管件(AW给水系列)灰色 4＂</t>
  </si>
  <si>
    <t>铜内丝直接头印尼(日标)PVC-U管件(AW给水系列)灰色 1/2＂</t>
  </si>
  <si>
    <t>90°弯头印尼(日标)PVC-U管件(AW给水系列)灰色 1-1/2＂</t>
  </si>
  <si>
    <t>90°弯头印尼(日标)PVC-U管件(AW给水系列)灰色 6＂</t>
  </si>
  <si>
    <t>管帽印尼(日标)PVC-U管件(AW给水系列)灰色 1/2＂</t>
  </si>
  <si>
    <t>管帽印尼(日标)PVC-U管件(AW给水系列)灰色 3/4＂</t>
  </si>
  <si>
    <t>管帽印尼(日标)PVC-U管件(AW给水系列)灰色 2＂</t>
  </si>
  <si>
    <t>内螺纹异径直接头印尼(日标)PVC-U管件(AW给水系列)灰色 1＂×1/2＂</t>
  </si>
  <si>
    <t>双头外螺纹直接头印尼(日标)PVC-U管件(AW给水系列)灰色 1/2＂</t>
  </si>
  <si>
    <t>双头外螺纹直接头印尼(日标)PVC-U管件(AW给水系列)灰色 3/4＂</t>
  </si>
  <si>
    <t>外螺纹直接头印尼(日标)PVC-U管件(AW给水系列)灰色 1/2＂</t>
  </si>
  <si>
    <t>外螺纹直接头印尼(日标)PVC-U管件(AW给水系列)灰色 1＂</t>
  </si>
  <si>
    <t>异径三通印尼(日标)PVC-U管件(AW给水系列)灰色 3/4＂×1/2＂</t>
  </si>
  <si>
    <t>异径三通印尼(日标)PVC-U管件(AW给水系列)灰色 1-1/4＂×3/4＂</t>
  </si>
  <si>
    <t>异径三通印尼(日标)PVC-U管件(AW给水系列)灰色 3＂×2＂</t>
  </si>
  <si>
    <t>异径套印尼(日标)PVC-U管件(AW给水系列)灰色 1-1/2＂×1＂</t>
  </si>
  <si>
    <t>90°正三通印尼(日标)PVC-U管件(AW给水系列)灰色 1-1/4＂</t>
  </si>
  <si>
    <t>90°正三通印尼(日标)PVC-U管件(AW给水系列)灰色 1-1/2＂</t>
  </si>
  <si>
    <t>90°正三通印尼(日标)PVC-U管件(AW给水系列)灰色 2＂</t>
  </si>
  <si>
    <t>90°正三通印尼(日标)PVC-U管件(AW给水系列)灰色 2-1/2＂</t>
  </si>
  <si>
    <t>90°正三通印尼(日标)PVC-U管件(AW给水系列)灰色 3＂</t>
  </si>
  <si>
    <t>90°正三通印尼(日标)PVC-U管件(AW给水系列)灰色 4＂</t>
  </si>
  <si>
    <t>内螺纹三通印尼(日标)PVC-U管件(AW给水系列)灰色 1/2＂</t>
  </si>
  <si>
    <t>内螺纹直接头印尼(日标)PVC-U管件(AW给水系列)灰色 1/2＂</t>
  </si>
  <si>
    <t>内螺纹直接头印尼(日标)PVC-U管件(AW给水系列)灰色 1-1/4＂</t>
  </si>
  <si>
    <t>外螺纹直接头印尼(日标)PVC-U管件(AW给水系列)灰色 1-1/2＂</t>
  </si>
  <si>
    <t>异径三通印尼(日标)PVC-U管件(AW给水系列)灰色 1＂×3/4＂</t>
  </si>
  <si>
    <t>异径三通印尼(日标)PVC-U管件(AW给水系列)灰色 1-1/4＂×1/2＂</t>
  </si>
  <si>
    <t>异径三通印尼(日标)PVC-U管件(AW给水系列)灰色 1-1/2＂×1/2＂</t>
  </si>
  <si>
    <t>异径三通印尼(日标)PVC-U管件(AW给水系列)灰色 1-1/2＂×3/4＂</t>
  </si>
  <si>
    <t>异径三通印尼(日标)PVC-U管件(AW给水系列)灰色 1-1/2＂×1＂</t>
  </si>
  <si>
    <t>异径三通印尼(日标)PVC-U管件(AW给水系列)灰色1-1/2＂×1-1/4＂</t>
  </si>
  <si>
    <t>异径三通印尼(日标)PVC-U管件(AW给水系列)灰色 2＂×1/2＂</t>
  </si>
  <si>
    <t>异径三通印尼(日标)PVC-U管件(AW给水系列)灰色 2＂×3/4＂</t>
  </si>
  <si>
    <t>异径三通印尼(日标)PVC-U管件(AW给水系列)灰色 2＂×1＂</t>
  </si>
  <si>
    <t>异径三通印尼(日标)PVC-U管件(AW给水系列)灰色 2＂×1-1/4＂</t>
  </si>
  <si>
    <t>异径三通印尼(日标)PVC-U管件(AW给水系列)灰色 2＂×1-1/2＂</t>
  </si>
  <si>
    <t>异径套印尼(日标)PVC-U管件(AW给水系列)灰色 1-1/4＂×1/2＂</t>
  </si>
  <si>
    <r>
      <rPr>
        <sz val="10"/>
        <rFont val="MS Gothic"/>
        <family val="3"/>
        <charset val="128"/>
      </rPr>
      <t>印尼</t>
    </r>
    <r>
      <rPr>
        <sz val="10"/>
        <rFont val="Arial"/>
        <family val="2"/>
      </rPr>
      <t>(</t>
    </r>
    <r>
      <rPr>
        <sz val="10"/>
        <rFont val="MS Gothic"/>
        <family val="3"/>
        <charset val="128"/>
      </rPr>
      <t>日</t>
    </r>
    <r>
      <rPr>
        <sz val="10"/>
        <rFont val="Microsoft JhengHei"/>
        <family val="2"/>
        <charset val="136"/>
      </rPr>
      <t>标</t>
    </r>
    <r>
      <rPr>
        <sz val="10"/>
        <rFont val="Arial"/>
        <family val="2"/>
      </rPr>
      <t>)PVC-U</t>
    </r>
    <r>
      <rPr>
        <sz val="10"/>
        <rFont val="Microsoft JhengHei"/>
        <family val="2"/>
        <charset val="136"/>
      </rPr>
      <t>给水扩直口管</t>
    </r>
    <r>
      <rPr>
        <sz val="10"/>
        <rFont val="Arial"/>
        <family val="2"/>
      </rPr>
      <t>(AW</t>
    </r>
    <r>
      <rPr>
        <sz val="10"/>
        <rFont val="MS Gothic"/>
        <family val="3"/>
        <charset val="128"/>
      </rPr>
      <t>系列</t>
    </r>
    <r>
      <rPr>
        <sz val="10"/>
        <rFont val="Arial"/>
        <family val="2"/>
      </rPr>
      <t>)</t>
    </r>
    <r>
      <rPr>
        <sz val="10"/>
        <rFont val="MS Gothic"/>
        <family val="3"/>
        <charset val="128"/>
      </rPr>
      <t>白色</t>
    </r>
    <r>
      <rPr>
        <sz val="10"/>
        <rFont val="Arial"/>
        <family val="2"/>
      </rPr>
      <t xml:space="preserve"> 42(1-1/4</t>
    </r>
    <r>
      <rPr>
        <sz val="10"/>
        <rFont val="MS Gothic"/>
        <family val="3"/>
        <charset val="128"/>
      </rPr>
      <t>＂</t>
    </r>
    <r>
      <rPr>
        <sz val="10"/>
        <rFont val="Arial"/>
        <family val="2"/>
      </rPr>
      <t>) 4M</t>
    </r>
  </si>
  <si>
    <t>印尼日标给水管材</t>
  </si>
  <si>
    <t>印尼(日标)PVC-U给水扩直口管(AW系列)白色 76(2-1/2＂) 4M</t>
  </si>
  <si>
    <t>印尼(日标)PVC-U给水扩直口管(AW系列)白色 216(8＂) 4M</t>
  </si>
  <si>
    <t>印尼(日标)PVC-U给水扩直口管(AW系列)白色 140(5＂) 4M</t>
  </si>
  <si>
    <t>印尼(日标)PVC-U给水扩直口管(AW系列)白色 267(10＂) 4M</t>
  </si>
  <si>
    <t>印尼(日标)PVC-U给水扩直口管(AW系列)白色 318(12＂) 4M</t>
  </si>
  <si>
    <t>印尼(日标)PVC-U给水扩直口管(AW系列)白色 140(5＂) 5.8M</t>
  </si>
  <si>
    <t>印尼(日标)PVC-U给水扩直口管(AW系列)白色 216(8＂) 5.8M</t>
  </si>
  <si>
    <t>印尼(日标)PVC-U给水扩直口管(AW系列)白色 267(10＂) 5.8M</t>
  </si>
  <si>
    <t>印尼(日标)PVC-U给水扩直口管(AW系列)白色 318(12＂) 5.8M</t>
  </si>
  <si>
    <t>不锈钢编织软管 WP03106a</t>
  </si>
  <si>
    <t>Z031</t>
  </si>
  <si>
    <t>水暖仓</t>
  </si>
  <si>
    <t>水暖卫浴</t>
  </si>
  <si>
    <t>不锈钢编织软管 WP03203</t>
  </si>
  <si>
    <t>不锈钢编织软管 WP03205</t>
  </si>
  <si>
    <t>不锈钢编织软管 WP03208</t>
  </si>
  <si>
    <t>不锈钢编织软管 WP03212</t>
  </si>
  <si>
    <t>淋浴软管 WP12215</t>
  </si>
  <si>
    <t>淋浴软管 WP12216</t>
  </si>
  <si>
    <t>多功能花洒 WP06511</t>
  </si>
  <si>
    <t>淋浴软管 WP12212</t>
  </si>
  <si>
    <t>90°异径弯头PVC-U排水配件白色 dn50×32</t>
  </si>
  <si>
    <t>国标PVC排水配件</t>
  </si>
  <si>
    <t>穿楼板预埋接头(止水节)PVC-U排水配件白色 dn50(h118)</t>
  </si>
  <si>
    <t>90°异径三通PVC-U排水配件白色 dn110×50</t>
  </si>
  <si>
    <t>90°异径三通PVC-U排水配件白色 dn160×110</t>
  </si>
  <si>
    <t>瓶型三通PVC-U排水配件白色 dn110×50</t>
  </si>
  <si>
    <t>螺纹伸缩节PVC-U排水配件白色 dn110</t>
  </si>
  <si>
    <t>45°弯头PVC-U排水配件白色 dn110</t>
  </si>
  <si>
    <t>45°弯头PVC-U排水配件白色 dn160</t>
  </si>
  <si>
    <t>45°弯头PVC-U排水配件白色 dn50</t>
  </si>
  <si>
    <t>90°直角弯头PVC-U排水配件白色 dn110</t>
  </si>
  <si>
    <t>90°直角弯头PVC-U排水配件白色 dn160</t>
  </si>
  <si>
    <t>90°直角弯头PVC-U排水配件白色 dn32</t>
  </si>
  <si>
    <t>90°直角弯头PVC-U排水配件白色 dn50</t>
  </si>
  <si>
    <t>45°弯头(带检查口)PVC-U排水配件白色 dn50</t>
  </si>
  <si>
    <t>90°弯头(带检查口)PVC-U排水配件白色 dn110</t>
  </si>
  <si>
    <t>90°弯头(带检查口)PVC-U排水配件白色 dn50</t>
  </si>
  <si>
    <t>45°异径斜四通PVC-U排水配件白色 dn160×110</t>
  </si>
  <si>
    <t>45°斜四通PVC-U排水配件白色 dn160</t>
  </si>
  <si>
    <t>异径套PVC-U排水配件白色 dn160×110</t>
  </si>
  <si>
    <t>直通(管箍)PVC-U排水配件白色 dn160</t>
  </si>
  <si>
    <t>直通(管箍)PVC-U排水配件白色 dn32</t>
  </si>
  <si>
    <t>直通(管箍)PVC-U排水配件白色 dn50</t>
  </si>
  <si>
    <t>直通(管箍)PVC-U排水配件白色 dn75</t>
  </si>
  <si>
    <t>直通(管箍)PVC-U排水配件白色 dn110</t>
  </si>
  <si>
    <t>45°斜三通PVC-U排水配件白色 dn50</t>
  </si>
  <si>
    <t>清扫口(内插)PVC-U排水配件白色 dn110</t>
  </si>
  <si>
    <t>90°顺水三通(等径三通)PVC-U排水配件白色 dn160</t>
  </si>
  <si>
    <t>90°顺水三通(等径三通)PVC-U排水配件白色 dn50</t>
  </si>
  <si>
    <t>90°顺水三通(等径三通)PVC-U排水配件白色 dn75</t>
  </si>
  <si>
    <t>90°顺水三通(等径三通)PVC-U排水配件白色 dn110</t>
  </si>
  <si>
    <t>45°异径斜三通PVC-U排水配件白色 dn110×50</t>
  </si>
  <si>
    <t>45°异径斜三通PVC-U排水配件白色 dn160×110</t>
  </si>
  <si>
    <t>45°斜三通PVC-U排水配件白色 dn110</t>
  </si>
  <si>
    <t>45°斜三通PVC-U排水配件白色 dn160</t>
  </si>
  <si>
    <t>侧地漏PVC-U排水配件白色 dn110</t>
  </si>
  <si>
    <t>PVC管卡(配尖咀螺丝)PVC-U排水配件白色 dn160</t>
  </si>
  <si>
    <t>大小头PVC-U排水配件白色 dn50×32</t>
  </si>
  <si>
    <t>PVC管卡(配120mm长尖咀螺丝)PVC-U排水配件白色 dn50</t>
  </si>
  <si>
    <t>顺水三通(带检查口)PVC-U排水配件白色 dn160</t>
  </si>
  <si>
    <t>穿楼板预埋接头(止水节)PVC-U排水配件白色 dn110</t>
  </si>
  <si>
    <t>清扫口(内插)PVC-U排水配件白色 dn50</t>
  </si>
  <si>
    <t>90°异径三通PVC-U排水配件白色 dn50×32</t>
  </si>
  <si>
    <t>大小头PVC-U排水配件白色 dn110×50</t>
  </si>
  <si>
    <t>大小头PVC-U排水配件白色 dn160×110</t>
  </si>
  <si>
    <t>PVC管卡(配200mm长尖咀螺丝)PVC-U排水配件白色 dn110</t>
  </si>
  <si>
    <t>PVC管卡(配200mm长尖咀螺丝)PVC-U排水配件白色 dn50</t>
  </si>
  <si>
    <t>PVC管卡(配尖咀螺丝)PVC-U排水配件白色 dn110</t>
  </si>
  <si>
    <t>Ⅲ型管卡PVC-U排水配件白色 dn110</t>
  </si>
  <si>
    <t>Ⅲ型管卡PVC-U排水配件白色 dn50</t>
  </si>
  <si>
    <t>管帽PVC-U排水配件白色 dn110</t>
  </si>
  <si>
    <t>管帽PVC-U排水配件白色 dn50</t>
  </si>
  <si>
    <t>立管检查口PVC-U排水配件白色 dn110</t>
  </si>
  <si>
    <t>立管检查口PVC-U排水配件白色 dn50</t>
  </si>
  <si>
    <t>P型存水弯(带检查口)PVC-U排水配件白色 dn110</t>
  </si>
  <si>
    <t>P型存水弯(带检查口)PVC-U排水配件白色 dn50</t>
  </si>
  <si>
    <t>存水弯(带检查口)PVC-U排水配件白色 dn50</t>
  </si>
  <si>
    <t>异径立体四通PVC-U排水配件白色 dn110×50</t>
  </si>
  <si>
    <t>清扫口(外插)PVC-U排水配件白色 dn110</t>
  </si>
  <si>
    <t>清扫口(外插)PVC-U排水配件白色 dn50</t>
  </si>
  <si>
    <t xml:space="preserve">简易地漏(外插)PVC-U排水配件白色 dn50 </t>
  </si>
  <si>
    <t>建筑排水用PVC-U管(A)白色 dn75 4M</t>
  </si>
  <si>
    <t>国标PVC排水管</t>
  </si>
  <si>
    <t>建筑排水用PVC-U管(A)白色 dn50 4M</t>
  </si>
  <si>
    <t>建筑排水用PVC-U管(A)白色 dn110 4M</t>
  </si>
  <si>
    <t>建筑排水用PVC-U管(A)白色 dn160 4M</t>
  </si>
  <si>
    <t>建筑排水用PVC-U管(A)白色 dn32 4M</t>
  </si>
  <si>
    <t>PVC钢丝增强软管 透明 25×29 50米</t>
  </si>
  <si>
    <t>Z029</t>
  </si>
  <si>
    <t>软管仓</t>
  </si>
  <si>
    <t>PVC软管</t>
  </si>
  <si>
    <t>PVC钢丝增强软管 透明 25×31 50米</t>
  </si>
  <si>
    <t>PVC钢丝增强软管 透明 32×38 50米</t>
  </si>
  <si>
    <t>PVC钢丝增强软管 透明 32×39 50米</t>
  </si>
  <si>
    <t>PVC钢丝增强软管 透明 38×44 50米</t>
  </si>
  <si>
    <t>PVC钢丝增强软管 透明 38×45 50米</t>
  </si>
  <si>
    <t>PVC钢丝增强软管 透明 50×57 50米</t>
  </si>
  <si>
    <t>PVC钢丝增强软管 透明 50×58 50米</t>
  </si>
  <si>
    <t>PVC钢丝增强软管 透明 64×72 30米</t>
  </si>
  <si>
    <t>PVC钢丝增强软管 透明 64×74 30米</t>
  </si>
  <si>
    <t>PVC钢丝增强软管 透明 75×83 30米</t>
  </si>
  <si>
    <t>PVC钢丝增强软管 透明 75×85 30米</t>
  </si>
  <si>
    <t>PVC钢丝增强软管 透明 102×110 30米</t>
  </si>
  <si>
    <t>PVC钢丝增强软管 透明 102×114 30米</t>
  </si>
  <si>
    <t>PVC纤维增强软管 海蓝色 16×20 50米</t>
  </si>
  <si>
    <t>PVC纤维增强软管 海蓝色 19×23 50米</t>
  </si>
  <si>
    <r>
      <rPr>
        <sz val="10"/>
        <rFont val="Arial"/>
        <family val="2"/>
      </rPr>
      <t>PVC</t>
    </r>
    <r>
      <rPr>
        <sz val="10"/>
        <rFont val="宋体"/>
        <family val="3"/>
        <charset val="134"/>
      </rPr>
      <t>软管</t>
    </r>
  </si>
  <si>
    <t>PVC纤维增强软管 海蓝色 25×29.4 50米</t>
  </si>
  <si>
    <t>PVC纤维增强软管 海蓝色 25×29 50米</t>
  </si>
  <si>
    <t>PVC花园增强软管 内黑外绿 12×16 50米</t>
  </si>
  <si>
    <t>PVC花园增强软管 内黑外绿 12×15.4 50米</t>
  </si>
  <si>
    <t>PVC花园增强软管 内黑外绿 15×19 50米</t>
  </si>
  <si>
    <t>PVC花园增强软管 内黑外绿 15×18.6 50米</t>
  </si>
  <si>
    <t>PVC花园增强软管 内黑外绿 19×23 50米</t>
  </si>
  <si>
    <t>PVC优质高压水带 蓝色 51 100米</t>
  </si>
  <si>
    <t>Z999</t>
  </si>
  <si>
    <t>其他(用于销售任务)</t>
  </si>
  <si>
    <t>PVC优质高压水带 蓝色 76 100米</t>
  </si>
  <si>
    <t>PVC优质高压水带 蓝色 102 100米</t>
  </si>
  <si>
    <t>PVC优质高压水带 蓝色 105 100米</t>
  </si>
  <si>
    <t>PVC纤维增强软管  海蓝色 12X16 100M</t>
  </si>
  <si>
    <t>PVC纤维增强软管  海蓝色 16X20 100M</t>
  </si>
  <si>
    <t>暗装开关盒(带金属片)PVC电工配白77×77/Φ20Φ25/H60</t>
  </si>
  <si>
    <t>Z002</t>
  </si>
  <si>
    <t>线槽仓</t>
  </si>
  <si>
    <t>PVC电线管配件</t>
  </si>
  <si>
    <t>暗装开关盒(带金属片)PVC电工配白77×77/Φ20Φ25/H70</t>
  </si>
  <si>
    <t>暗装开关盒(带塑料脚)PVC电工配白77×77/Φ20/H56</t>
  </si>
  <si>
    <t>暗装开关盒(带塑料脚)PVC电工配白77×77/Φ20/H70</t>
  </si>
  <si>
    <t>暗装开关盒(带塑料脚)PVC电工配白77×77/Φ20Φ25/H56</t>
  </si>
  <si>
    <t>暗装开关盒(带塑料脚)PVC电工配白77×77/Φ20Φ25/H70</t>
  </si>
  <si>
    <t>暗装拼装开关盒(带金属片)PVC电工配白 81×81/Φ20/H50</t>
  </si>
  <si>
    <t>明装开关盒PVC电工配白86×86/Φ20/H46</t>
  </si>
  <si>
    <t>明装开关盒PVC电工配白86×86/Φ20Φ25/H46</t>
  </si>
  <si>
    <t>明装开关盒PVC电工配白86×86/Φ20/H54</t>
  </si>
  <si>
    <t>明装开关盒PVC电工配白86×86/Φ20Φ25/H40</t>
  </si>
  <si>
    <t>明装开关盒PVC电工配白86×86/Φ20Φ25/H54</t>
  </si>
  <si>
    <t>暗装灯头深型圆接线盒(单通)PVC电工套管配件白色 65×65/1/Φ20</t>
  </si>
  <si>
    <t>暗装灯头深型圆接线盒(单通)PVC电工套管配件白色 65×65/1/Φ25</t>
  </si>
  <si>
    <t>暗装灯头深型圆接线盒双曲通PVC电工套管配件白色 65×65/2L/Φ16/65</t>
  </si>
  <si>
    <t>暗装灯头深型圆接线盒(单通)PVC电工套管配件白色 65×65/1/Φ16/65</t>
  </si>
  <si>
    <t>暗装灯头深型圆接线盒(双曲通)PVC电工套管配件白色 65×65/2L/Φ20</t>
  </si>
  <si>
    <t>暗装灯头深型圆接线盒(双曲通)PVC电工套管配件白色 65×65/2L/Φ25</t>
  </si>
  <si>
    <t>暗装灯头深型圆接线盒(四通)PVC电工套管配件白色 65×65/4/Φ16/65</t>
  </si>
  <si>
    <t>暗装灯头深型圆接线盒(四通)PVC电工套管配件白色 65×65/4/Φ20</t>
  </si>
  <si>
    <t>暗装灯头深型圆接线盒(四通)PVC电工套管配件白色 65×65/4/Φ25</t>
  </si>
  <si>
    <t>暗装开关盒(带金属片)PVC电工配白77×77/Φ20/H70</t>
  </si>
  <si>
    <t>暗装开关盒(带塑料脚)PVC电工配白 77×77/Φ20/H38</t>
  </si>
  <si>
    <t>暗装开关盒(带塑料脚)PVC电工配白 77×77/Φ20/H48</t>
  </si>
  <si>
    <t>暗装开关盒(带塑料脚)PVC电工配白 77×77/Φ20Φ25/H38</t>
  </si>
  <si>
    <t>暗装开关盒(带塑料脚)PVC电工配白 77×77/Φ20Φ25/H48</t>
  </si>
  <si>
    <t>暗装开关盒(带塑料脚)PVC电工配白164×77Φ16×2Φ20Φ25/H38</t>
  </si>
  <si>
    <t>暗装开关盒(带塑料脚)PVC电工配白255×75Φ20×2Φ25×2/H50</t>
  </si>
  <si>
    <t>暗装开关盒(带塑料脚)PVC电工配白164×77Φ20×2Φ25×2/H50</t>
  </si>
  <si>
    <t>暗装开关盒(带塑料脚)PVC电工配白141×80/Φ20/H50</t>
  </si>
  <si>
    <t>暗装开关盒(带金属片)PVC电工配白77×77/Φ20/H50</t>
  </si>
  <si>
    <t>暗装开关盒(带金属片)PVC电工配白77×77/Φ20/H60</t>
  </si>
  <si>
    <t>暗装拼装开关盒(带金属片)PVC电工配白 81×81/Φ25/H50</t>
  </si>
  <si>
    <t>明装开关盒PVC电工配白86×86/Φ20/H40</t>
  </si>
  <si>
    <t>八角盒盖PVC电工套管配件白色 77×77</t>
  </si>
  <si>
    <t>45°弯头PVC电工套管配件白色 Φ32</t>
  </si>
  <si>
    <t>45°弯头PVC电工套管配件白色 Φ40</t>
  </si>
  <si>
    <t>45°弯头PVC电工套管配件白色 Φ20</t>
  </si>
  <si>
    <t>45°弯头PVC电工套管配件白色 Φ25</t>
  </si>
  <si>
    <t>管接头(印尼版)PVC电工套管配件白色 Φ20</t>
  </si>
  <si>
    <t>暗装中穿筋拼装开关盒(带金属片)PVC电工配白77×77/Φ20/H70</t>
  </si>
  <si>
    <t>暗装中穿筋拼装开关盒(带金属片)PVC电工配白77×77/Φ20Φ25/H70</t>
  </si>
  <si>
    <t>大弧度弯头PVC电工套管配件白色 Φ50</t>
  </si>
  <si>
    <t>U型管夹ⅡPVC电工套管配件白色 Φ25</t>
  </si>
  <si>
    <t>暗装下穿筋开关盒(带金属片)PVC电工配白77×77/Φ20/H70</t>
  </si>
  <si>
    <t>暗装下穿筋开关盒(带金属片)PVC电工配白77×77/Φ20Φ25/H70</t>
  </si>
  <si>
    <t>暗装开关盒(带金属片)PVC电工配白141×80/Φ20/H50</t>
  </si>
  <si>
    <t>大弧度弯头PVC电工套管配件白色 Φ16</t>
  </si>
  <si>
    <t>暗装八角下穿筋开关盒(带金属片)PVC电工配白77×77/Φ20/H70</t>
  </si>
  <si>
    <t>LSGT202502240130</t>
  </si>
  <si>
    <t>暗装开关盒(带金属片)PVC电工配白164×77/Φ16Φ20Φ25/H38</t>
  </si>
  <si>
    <t>暗装开关盒(带金属片)PVC电工配白164×77/Φ20Φ25/H50</t>
  </si>
  <si>
    <t>双U管夹PVC电工套管配件白色 Φ20</t>
  </si>
  <si>
    <t>暗装八角下穿筋开关盒(带金属片)PVC电工配白77×77/Φ25/H60</t>
  </si>
  <si>
    <t>暗装开关盒(带塑料脚)PVC电工配黑 77×77/Φ20Φ25/H38</t>
  </si>
  <si>
    <t>暗装八角开关盒(带金属片)PVC电工配白77×77/Φ25/H70</t>
  </si>
  <si>
    <t>暗装中穿筋开关盒(带金属片)PVC电工配白77×77/Φ20/H70</t>
  </si>
  <si>
    <t>暗装中穿筋开关盒(带金属片)PVC电工配白77×77/Φ20Φ25/H70</t>
  </si>
  <si>
    <t>暗装中穿筋开关盒(带金属片)PVC电工配白77×77/Φ20/H60</t>
  </si>
  <si>
    <t>槽、管线盒盖PVC电工套管配件白色 77×77</t>
  </si>
  <si>
    <t>明装开关盒PVC电工配印尼白 86×86/Φ20/H46</t>
  </si>
  <si>
    <t>明装开关盒PVC电工配印尼白 86×86/Φ20Φ25/H46</t>
  </si>
  <si>
    <t>U型管夹ⅡPVC电工套管配件白色 Φ20</t>
  </si>
  <si>
    <t>暗装下穿筋开关盒(带金属片)PVC电工配白77×77/Φ20/H60</t>
  </si>
  <si>
    <t>暗装拼装开关盒(带塑料脚)PVC电工配白(海外专用)77×77/Φ20/H38</t>
  </si>
  <si>
    <t>暗装开关盒Ⅲ型PVC电工配白77×77/Φ20/H50</t>
  </si>
  <si>
    <t>暗装灯头深型圆接线盒(三通)PVC电工套管配件白色 65×65/3/Φ20</t>
  </si>
  <si>
    <t>暗装灯头深型圆接线盒(三通)PVC电工套管配件白色 65×65/3/Φ25</t>
  </si>
  <si>
    <t>管三通PVC电工套管配件白色 Φ16</t>
  </si>
  <si>
    <t>管三通PVC电工套管配件白色 Φ20</t>
  </si>
  <si>
    <t>管三通PVC电工套管配件白色 Φ25</t>
  </si>
  <si>
    <t>管三通PVC电工套管配件白色 Φ32</t>
  </si>
  <si>
    <t>管三通PVC电工套管配件白色 Φ40</t>
  </si>
  <si>
    <t>管三通PVC电工套管配件白色 Φ50</t>
  </si>
  <si>
    <t>管有盖三通PVC电工套管配件白色 Φ20</t>
  </si>
  <si>
    <t>管有盖三通PVC电工套管配件白色 Φ25</t>
  </si>
  <si>
    <t>管有盖三通PVC电工套管配件白色 Φ32</t>
  </si>
  <si>
    <t>管三通圆接线盒(带盖)PVC电工套管配件白色 65×40/3/Φ16/40</t>
  </si>
  <si>
    <t>管三通圆接线盒(带盖)PVC电工套管配件白色 65×40/3/Φ20</t>
  </si>
  <si>
    <t>管三通圆接线盒(带盖)PVC电工套管配件白色 65×40/3/Φ25</t>
  </si>
  <si>
    <t>大弧度弯头PVC电工套管配件白色 Φ20</t>
  </si>
  <si>
    <t>大弧度弯头PVC电工套管配件白色 Φ25</t>
  </si>
  <si>
    <t>大弧度弯头PVC电工套管配件白色 Φ32</t>
  </si>
  <si>
    <t>大弧度弯头PVC电工套管配件白色 Φ40</t>
  </si>
  <si>
    <t>管弯头PVC电工套管配件白色 Φ16</t>
  </si>
  <si>
    <t>管弯头PVC电工套管配件白色 Φ20</t>
  </si>
  <si>
    <t>管弯头PVC电工套管配件白色 Φ25</t>
  </si>
  <si>
    <t>管弯头PVC电工套管配件白色 Φ32</t>
  </si>
  <si>
    <t>暗装灯头深型圆接线盒(三通)PVC电工套管配件白色 65×65/3/Φ16/65</t>
  </si>
  <si>
    <t>暗装灯头深型圆接线盒(四通)PVC电工套管配件白色 65×70/4/Φ16</t>
  </si>
  <si>
    <t>暗装灯头深型圆接线盒(四通)PVC电工套管配件白色 65×70/4/Φ20</t>
  </si>
  <si>
    <t>暗装灯头深型圆接线盒(四通)PVC电工套管配件白色 65×70/4/Φ25</t>
  </si>
  <si>
    <t>管夹PVC电工套管配件白色 Φ20</t>
  </si>
  <si>
    <t>管夹PVC电工套管配件白色 Φ25</t>
  </si>
  <si>
    <t>管夹PVC电工套管配件白色 Φ32</t>
  </si>
  <si>
    <t>管夹PVC电工套管配件白色 Φ40</t>
  </si>
  <si>
    <t>管夹PVC电工套管配件黑色 Φ25</t>
  </si>
  <si>
    <t>管接头PVC电工套管配件白色 Φ16</t>
  </si>
  <si>
    <t>中穿筋暗装开关盒ⅡPVC电工套管配件白色 77×77/Φ20/60</t>
  </si>
  <si>
    <t>管夹PVC电工套管配件白色 Φ16</t>
  </si>
  <si>
    <t>管夹PVC电工套管配件白色 Φ50</t>
  </si>
  <si>
    <t>中穿筋暗装开关盒ⅡPVC电工套管配件白色 77×77/Φ20/70</t>
  </si>
  <si>
    <t>中穿筋暗装开关盒ⅡPVC电工套管配件白色 77×77/Φ25/70</t>
  </si>
  <si>
    <t>管接头PVC电工套管配件白色 Φ20</t>
  </si>
  <si>
    <t>管接头PVC电工套管配件白色 Φ25</t>
  </si>
  <si>
    <t>管接头PVC电工套管配件白色 Φ32</t>
  </si>
  <si>
    <t>管接头PVC电工套管配件白色 Φ40</t>
  </si>
  <si>
    <t>异径管接头PVC电工套管配件白色 Φ20×16</t>
  </si>
  <si>
    <t>管塞PVC电工套管配件白色 Φ16</t>
  </si>
  <si>
    <t>管塞PVC电工套管配件白色 Φ20</t>
  </si>
  <si>
    <t>管塞PVC电工套管配件白色 Φ25</t>
  </si>
  <si>
    <t>管弯头PVC电工套管配件白色 Φ40</t>
  </si>
  <si>
    <t>弯管弹簧PVC电工套管配件工具 Φ20B</t>
  </si>
  <si>
    <t>弯管弹簧PVC电工套管配件工具 Φ25B</t>
  </si>
  <si>
    <t>暗装灯头深型圆接线盒(单通)PVC电工套管配件白色 65×70/1/Φ25</t>
  </si>
  <si>
    <t>槽、管线盒盖PVC电工套管配件白色 86×86</t>
  </si>
  <si>
    <t>弯管弹簧PVC电工套管配件工具 Φ32B</t>
  </si>
  <si>
    <t>暗装灯头深型圆接线盒(单通)PVC电工套管配件白色 65×70/1/Φ20</t>
  </si>
  <si>
    <t>暗装灯头深型圆接线盒(双曲通)PVC电工套管配件白色 65×70/2L/Φ20</t>
  </si>
  <si>
    <t>暗装灯头深型圆接线盒(双直通)PVC电工套管配件白色 65×70/2I/Φ20</t>
  </si>
  <si>
    <t>暗装灯头深型圆接线盒(三通)PVC电工套管配件白色 65×70/3/Φ25</t>
  </si>
  <si>
    <t>槽、管线盒盖PVC电工套管配件白色 164×77</t>
  </si>
  <si>
    <t>槽、管线盒盖PVC电工套管配件白色 75×75</t>
  </si>
  <si>
    <t>中穿筋暗装开关盒ⅡPVC电工套管配件白色 77×77/Φ20Φ25/70</t>
  </si>
  <si>
    <t>异径管接头PVC电工套管配件白色 Φ32×20</t>
  </si>
  <si>
    <t>异径管接头PVC电工套管配件白色 Φ32×25</t>
  </si>
  <si>
    <t>镶拼式管夹PVC电工套管配件白色 Φ20</t>
  </si>
  <si>
    <t>管有盖三通PVC电工套管配件白色 Φ40</t>
  </si>
  <si>
    <t>U型管夹PVC电工套管配件白色 Φ20</t>
  </si>
  <si>
    <t>U型管夹PVC电工套管配件白色 Φ25</t>
  </si>
  <si>
    <t>U型管夹PVC电工套管配件白色 Φ32</t>
  </si>
  <si>
    <t>管直通(套筒)PVC电工套管配件白色 Φ40</t>
  </si>
  <si>
    <t>管弯头PVC电工套管配件白色 Φ50</t>
  </si>
  <si>
    <t>管弯头PVC电工套管配件白色 Φ60</t>
  </si>
  <si>
    <t>管有盖弯头PVC电工套管配件白色 Φ20</t>
  </si>
  <si>
    <t>管有盖弯头PVC电工套管配件白色 Φ25</t>
  </si>
  <si>
    <t>管有盖弯头PVC电工套管配件白色 Φ32</t>
  </si>
  <si>
    <t>管有盖弯头PVC电工套管配件白色 Φ40</t>
  </si>
  <si>
    <t>管有盖弯头PVC电工套管配件白色 Φ50</t>
  </si>
  <si>
    <t>管单通圆接线盒(带盖)PVC电工套管配件白色 65×40/1/Φ16/40</t>
  </si>
  <si>
    <t>管单通圆接线盒(带盖)PVC电工套管配件白色 65×40/1/Φ20</t>
  </si>
  <si>
    <t>管单通圆接线盒(带盖)PVC电工套管配件白色 65×40/1/Φ25</t>
  </si>
  <si>
    <t>管双曲通圆接线盒(带盖)PVC电工套管配件白色 65×40/2L/Φ16/40</t>
  </si>
  <si>
    <t>管双曲通圆接线盒(带盖)PVC电工套管配件白色 65×40/2L/Φ20</t>
  </si>
  <si>
    <t>管双曲通圆接线盒(带盖)PVC电工套管配件白色 65×40/2L/Φ25</t>
  </si>
  <si>
    <t>管四通圆接线盒(带盖)PVC电工套管配件白色 65×40/4/Φ16/40</t>
  </si>
  <si>
    <t>管四通圆接线盒(带盖)PVC电工套管配件白色 65×40/4/Φ20</t>
  </si>
  <si>
    <t>管四通圆接线盒(带盖)PVC电工套管配件白色 65×40/4/Φ25</t>
  </si>
  <si>
    <t>管双直通圆接线盒(带盖)PVC电工套管配件白色 65×40/2I/Φ20</t>
  </si>
  <si>
    <t>管双直通圆接线盒(带盖)PVC电工套管配件白色 65×40/2I/Φ25</t>
  </si>
  <si>
    <t>暗装灯头深型圆接线盒(双直通)PVC电工套管配件白色 65×65/2I/Φ20</t>
  </si>
  <si>
    <t>管直通(套筒)PVC电工套管配件白色 Φ20</t>
  </si>
  <si>
    <t>管直通(套筒)PVC电工套管配件白色 Φ25</t>
  </si>
  <si>
    <t>管直通(套筒)PVC电工套管配件白色 Φ32</t>
  </si>
  <si>
    <t>暗装定位拼装开关盒(带金属片)PVC电工配白 81×81/Φ20/H70</t>
  </si>
  <si>
    <t>暗装八角开关盒(带金属片)PVC电工配白77×77/Φ20/H50</t>
  </si>
  <si>
    <t>PVC电线管(B管)白色 dn16 2.9M</t>
  </si>
  <si>
    <t>PVC电线管</t>
  </si>
  <si>
    <t>PVC电线管(B管)白色 dn40 2.9M</t>
  </si>
  <si>
    <t>PVC电线管(B管)白色 dn50 2.9M</t>
  </si>
  <si>
    <r>
      <rPr>
        <sz val="10"/>
        <rFont val="Arial"/>
        <family val="2"/>
      </rPr>
      <t>PVC</t>
    </r>
    <r>
      <rPr>
        <sz val="10"/>
        <rFont val="Microsoft JhengHei"/>
        <family val="2"/>
        <charset val="136"/>
      </rPr>
      <t>电线管</t>
    </r>
    <r>
      <rPr>
        <sz val="10"/>
        <rFont val="Arial"/>
        <family val="2"/>
      </rPr>
      <t>(</t>
    </r>
    <r>
      <rPr>
        <sz val="10"/>
        <rFont val="MS Gothic"/>
        <family val="3"/>
        <charset val="128"/>
      </rPr>
      <t>印尼</t>
    </r>
    <r>
      <rPr>
        <sz val="10"/>
        <rFont val="Arial"/>
        <family val="2"/>
      </rPr>
      <t>)</t>
    </r>
    <r>
      <rPr>
        <sz val="10"/>
        <rFont val="MS Gothic"/>
        <family val="3"/>
        <charset val="128"/>
      </rPr>
      <t>白色</t>
    </r>
    <r>
      <rPr>
        <sz val="10"/>
        <rFont val="Arial"/>
        <family val="2"/>
      </rPr>
      <t xml:space="preserve"> dn20 2.9M</t>
    </r>
  </si>
  <si>
    <t>PVC-U Pipe Standard (C) 5/8＂-White 4M</t>
  </si>
  <si>
    <t>波纹管管索(Ⅱ)PVC电工套管配件白色 Φ20</t>
  </si>
  <si>
    <t>PVC波纹管电工套管配件</t>
  </si>
  <si>
    <t>波纹管转换接头PVC电工套管配件白色 Φ20</t>
  </si>
  <si>
    <t>暗装灯头深型圆接线盒(三通)PVC电工套管配件白色 65×70/3/Φ20</t>
  </si>
  <si>
    <t>圆接线盒盖PVC电工套管配件白色 Φ65</t>
  </si>
  <si>
    <t>波纹管管索PVC电工套管配件白色 Φ20</t>
  </si>
  <si>
    <t>波纹管管索PVC电工套管配件白色 Φ25</t>
  </si>
  <si>
    <t>波纹管管索PVC电工套管配件白色 Φ32</t>
  </si>
  <si>
    <t>波纹管PVC电工套管白色 dn32 100M</t>
  </si>
  <si>
    <t>PVC波纹管电工套管</t>
  </si>
  <si>
    <t>波纹管PVC电工套管白色 dn20 50M</t>
  </si>
  <si>
    <t>波纹管PVC电工套管白色 dn25 50M</t>
  </si>
  <si>
    <t>直通(PP快速连接配件)黑色 dn20</t>
  </si>
  <si>
    <t>Z056</t>
  </si>
  <si>
    <t>节水灌溉农业用管</t>
  </si>
  <si>
    <t>PP快速连接配件</t>
  </si>
  <si>
    <t>直通(PP快速连接配件)黑色 dn25</t>
  </si>
  <si>
    <t>直通(PP快速连接配件)黑色 dn32</t>
  </si>
  <si>
    <t>直通(PP快速连接配件)黑色 dn40</t>
  </si>
  <si>
    <t>直通(PP快速连接配件)黑色 dn50</t>
  </si>
  <si>
    <t>直通(PP快速连接配件)黑色 dn63</t>
  </si>
  <si>
    <t>直通(PP快速连接配件)黑色 dn75</t>
  </si>
  <si>
    <t>直通(PP快速连接配件)黑色 dn90</t>
  </si>
  <si>
    <t>直通(PP快速连接配件)黑色 dn110</t>
  </si>
  <si>
    <t>弯头(PP快速连接配件)黑色 dn20</t>
  </si>
  <si>
    <t>弯头(PP快速连接配件)黑色 dn25</t>
  </si>
  <si>
    <t>弯头(PP快速连接配件)黑色 dn32</t>
  </si>
  <si>
    <t>弯头(PP快速连接配件)黑色 dn40</t>
  </si>
  <si>
    <t>弯头(PP快速连接配件)黑色 dn50</t>
  </si>
  <si>
    <t>弯头(PP快速连接配件)黑色 dn63</t>
  </si>
  <si>
    <t>弯头(PP快速连接配件)黑色 dn75</t>
  </si>
  <si>
    <t>弯头(PP快速连接配件)黑色 dn90</t>
  </si>
  <si>
    <t>弯头(PP快速连接配件)黑色 dn110</t>
  </si>
  <si>
    <t>三通(PP快速连接配件)黑色 dn20</t>
  </si>
  <si>
    <t>三通(PP快速连接配件)黑色 dn25</t>
  </si>
  <si>
    <t>三通(PP快速连接配件)黑色 dn32</t>
  </si>
  <si>
    <t>三通(PP快速连接配件)黑色 dn40</t>
  </si>
  <si>
    <t>三通(PP快速连接配件)黑色 dn50</t>
  </si>
  <si>
    <t>三通(PP快速连接配件)黑色 dn63</t>
  </si>
  <si>
    <t>三通(PP快速连接配件)黑色 dn75</t>
  </si>
  <si>
    <t>三通(PP快速连接配件)黑色 dn90</t>
  </si>
  <si>
    <t>三通(PP快速连接配件)黑色 dn110</t>
  </si>
  <si>
    <t>异径三通(PP快速连接配件)黑色 dn25×20×25</t>
  </si>
  <si>
    <t>异径三通(PP快速连接配件)黑色 dn32×20×32</t>
  </si>
  <si>
    <t>异径三通(PP快速连接配件)黑色 dn32×dn25×dn32</t>
  </si>
  <si>
    <t>异径三通(PP快速连接配件)黑色 dn40×dn25×dn40</t>
  </si>
  <si>
    <t>异径三通(PP快速连接配件)黑色 dn40×32×40</t>
  </si>
  <si>
    <t>异径三通(PP快速连接配件)黑色 dn50×dn25×dn50</t>
  </si>
  <si>
    <t>异径三通(PP快速连接配件)黑色 dn50×dn32×dn50</t>
  </si>
  <si>
    <t>异径三通(PP快速连接配件)黑色 dn50×40×50</t>
  </si>
  <si>
    <t>异径三通(PP快速连接配件)黑色 dn63×dn32×dn63</t>
  </si>
  <si>
    <t>异径三通(PP快速连接配件)黑色 dn63×dn40×dn63</t>
  </si>
  <si>
    <t>异径三通(PP快速连接配件)黑色 dn63×dn50×dn63</t>
  </si>
  <si>
    <t>异径三通(PP快速连接配件)黑色 dn75×50×75</t>
  </si>
  <si>
    <t>异径三通(PP快速连接配件)黑色 dn75×63×75</t>
  </si>
  <si>
    <t>异径三通(PP快速连接配件)黑色 dn90×63×90</t>
  </si>
  <si>
    <t>异径三通(PP快速连接配件)黑色 dn90×75×90</t>
  </si>
  <si>
    <t>异径三通(PP快速连接配件)黑色 dn110×90×110</t>
  </si>
  <si>
    <t>异径直通(PP快速连接配件)黑色 dn25×20</t>
  </si>
  <si>
    <t>异径直通(PP快速连接配件)黑色 dn32×20</t>
  </si>
  <si>
    <t>异径直通(PP快速连接配件)黑色 dn32×dn25</t>
  </si>
  <si>
    <t>异径直通(PP快速连接配件)黑色 dn40×dn25</t>
  </si>
  <si>
    <t>异径直通(PP快速连接配件)黑色 dn40×dn32</t>
  </si>
  <si>
    <t>异径直通(PP快速连接配件)黑色 dn50×dn25</t>
  </si>
  <si>
    <t>异径直通(PP快速连接配件)黑色 dn50×dn32</t>
  </si>
  <si>
    <t>异径直通(PP快速连接配件)黑色 dn50×dn40</t>
  </si>
  <si>
    <t>异径直通(PP快速连接配件)黑色 dn63×dn32</t>
  </si>
  <si>
    <t>异径直通(PP快速连接配件)黑色 dn63×dn40</t>
  </si>
  <si>
    <t>异径直通(PP快速连接配件)黑色 dn63×dn50</t>
  </si>
  <si>
    <t>异径直通(PP快速连接配件)黑色 dn75×50</t>
  </si>
  <si>
    <t>异径直通(PP快速连接配件)黑色 dn75×63</t>
  </si>
  <si>
    <t>异径直通(PP快速连接配件)黑色 dn90×63</t>
  </si>
  <si>
    <t>异径直通(PP快速连接配件)黑色 dn90×75</t>
  </si>
  <si>
    <t>异径直通(PP快速连接配件)黑色 dn110×75</t>
  </si>
  <si>
    <t>异径直通(PP快速连接配件)黑色 dn110×90</t>
  </si>
  <si>
    <t>双由令(PP快速连接配件)黑色 dn25</t>
  </si>
  <si>
    <t>双由令(PP快速连接配件)黑色 dn32</t>
  </si>
  <si>
    <t>堵头(PP快速连接配件)黑色 dn20</t>
  </si>
  <si>
    <t>堵头(PP快速连接配件)黑色 dn25</t>
  </si>
  <si>
    <t>堵头(PP快速连接配件)黑色 dn32</t>
  </si>
  <si>
    <t>堵头(PP快速连接配件)黑色 dn40</t>
  </si>
  <si>
    <t>堵头(PP快速连接配件)黑色 dn50</t>
  </si>
  <si>
    <t>堵头(PP快速连接配件)黑色 dn63</t>
  </si>
  <si>
    <t>堵头(PP快速连接配件)黑色 dn75</t>
  </si>
  <si>
    <t>堵头(PP快速连接配件)黑色 dn90</t>
  </si>
  <si>
    <t>堵头(PP快速连接配件)黑色 dn110</t>
  </si>
  <si>
    <t>内丝直通(PP快速连接配件)黑色 dn20×1/2＂</t>
  </si>
  <si>
    <t>内丝直通(PP快速连接配件)黑色 dn25×3/4＂</t>
  </si>
  <si>
    <t>内丝直通(PP快速连接配件)黑色 dn32×1＂</t>
  </si>
  <si>
    <t>内丝直通(PP快速连接配件)黑色 dn40×1-1/4＂</t>
  </si>
  <si>
    <t>内丝直通(PP快速连接配件)黑色 dn50×1-1/2＂</t>
  </si>
  <si>
    <t>内丝直通(PP快速连接配件)黑色 dn63×2＂</t>
  </si>
  <si>
    <t>外丝直通(PP快速连接配件)黑色 dn20×1/2＂</t>
  </si>
  <si>
    <t>外丝直通(PP快速连接配件)蓝色 dn25×3/4＂</t>
  </si>
  <si>
    <t>外丝直通(PP快速连接配件)黑色 dn32×1＂</t>
  </si>
  <si>
    <t>外丝直通(PP快速连接配件)黑色 dn40×1-1/4＂</t>
  </si>
  <si>
    <t>外丝直通(PP快速连接配件)黑色 dn50×1-1/2＂</t>
  </si>
  <si>
    <t>外丝直通(PP快速连接配件)黑色 dn63×2＂</t>
  </si>
  <si>
    <t>内丝弯头(PP快速连接配件)黑色 dn20×1/2＂</t>
  </si>
  <si>
    <t>内丝弯头(PP快速连接配件)黑色 dn25×3/4＂</t>
  </si>
  <si>
    <t>内丝弯头(PP快速连接配件)黑色 dn32×1＂</t>
  </si>
  <si>
    <t>内丝弯头(PP快速连接配件)黑色 dn40×1-1/4＂</t>
  </si>
  <si>
    <t>内丝弯头(PP快速连接配件)黑色 dn50×1-1/2＂</t>
  </si>
  <si>
    <t>内丝弯头(PP快速连接配件)黑色 dn63×2＂</t>
  </si>
  <si>
    <t>外丝弯头(PP快速连接配件)黑色 dn20×1/2＂</t>
  </si>
  <si>
    <t>外丝弯头(PP快速连接配件)黑色 dn25×3/4＂</t>
  </si>
  <si>
    <t>外丝弯头(PP快速连接配件)黑色 dn32×1＂</t>
  </si>
  <si>
    <t>外丝弯头(PP快速连接配件)黑色 dn40×1-1/4＂</t>
  </si>
  <si>
    <t>外丝弯头(PP快速连接配件)黑色 dn50×1-1/2＂</t>
  </si>
  <si>
    <t>外丝弯头(PP快速连接配件)黑色 dn63×2＂</t>
  </si>
  <si>
    <t>内丝三通(PP快速连接配件)黑色 dn20×1/2＂</t>
  </si>
  <si>
    <t>内丝三通(PP快速连接配件)黑色 dn25×3/4＂</t>
  </si>
  <si>
    <t>内丝三通(PP快速连接配件)黑色 dn32×1＂</t>
  </si>
  <si>
    <t>内丝三通(PP快速连接配件)黑色 dn40×1-1/4＂</t>
  </si>
  <si>
    <t>内丝三通(PP快速连接配件)黑色 dn50×1-1/2＂</t>
  </si>
  <si>
    <t>内丝三通(PP快速连接配件)黑色 dn63×2＂</t>
  </si>
  <si>
    <t>外丝三通(PP快速连接配件)黑色 dn20×1/2＂</t>
  </si>
  <si>
    <t>外丝三通(PP快速连接配件)黑色 dn25×3/4＂</t>
  </si>
  <si>
    <t>外丝三通(PP快速连接配件)黑色 dn32×1＂</t>
  </si>
  <si>
    <t>外丝三通(PP快速连接配件)黑色 dn40×1-1/4＂</t>
  </si>
  <si>
    <t>外丝三通(PP快速连接配件)黑色 dn50×1-1/2＂</t>
  </si>
  <si>
    <t>外丝三通(PP快速连接配件)黑色 dn63×2＂</t>
  </si>
  <si>
    <t>内螺纹直接头Ⅰ型(PP-R 配件)印尼绿色 dn20×1/2＂</t>
  </si>
  <si>
    <t>Z006</t>
  </si>
  <si>
    <t>PPR仓</t>
  </si>
  <si>
    <t>PPR配件（铜件）</t>
  </si>
  <si>
    <t>内螺纹直接头Ⅰ型(PP-R 配件)印尼绿色 dn25×1/2＂</t>
  </si>
  <si>
    <t>内螺纹直接头Ⅱ型(PP-R 配件)印尼绿色 dn32×1＂</t>
  </si>
  <si>
    <t>内螺纹直接头Ⅱ型(PP-R 配件)印尼绿色 dn40×1-1/4＂</t>
  </si>
  <si>
    <t>内螺纹直接头Ⅱ型(PP-R 配件)印尼绿色 dn50×1-1/2＂</t>
  </si>
  <si>
    <t>内螺纹直接头Ⅱ型(PP-R 配件)印尼绿色 dn63×2＂</t>
  </si>
  <si>
    <t>内螺纹弯头Ⅰ型(PP-R 配件)印尼绿色 dn25X1/2＂</t>
  </si>
  <si>
    <t>内螺纹弯头Ⅰ型(PP-R 配件)印尼绿色 dn25X3/4＂</t>
  </si>
  <si>
    <t>外螺纹弯头Ⅰ型(PP-R 配件)印尼绿色 dn20X1/2＂</t>
  </si>
  <si>
    <t>外螺纹弯头Ⅰ型(PP-R 配件)印尼绿色 dn25X1/2＂</t>
  </si>
  <si>
    <t>外螺纹弯头Ⅰ型(PP-R 配件)印尼绿色 dn25X3/4＂</t>
  </si>
  <si>
    <t>外螺纹弯头Ⅱ型(PP-R 配件)印尼绿色 dn32X1＂</t>
  </si>
  <si>
    <t>截止阀(PP-R 配件)印尼绿色 dn20</t>
  </si>
  <si>
    <t>截止阀(PP-R 配件)印尼绿色 dn25</t>
  </si>
  <si>
    <t>内螺纹弯头Ⅱ型(PP-R 配件)绿色 dn20×1/2＂</t>
  </si>
  <si>
    <t>内螺纹弯头Ⅱ型(PP-R 配件)绿色 dn40×1-1/4＂</t>
  </si>
  <si>
    <t>双活接球阀(承口连接)Ⅱ型(PP-R 配件)印尼绿色 dn20</t>
  </si>
  <si>
    <t>双活接球阀(承口连接)Ⅱ型(PP-R 配件)印尼绿色 dn25</t>
  </si>
  <si>
    <t>双活接球阀(承口连接)Ⅱ型(PP-R 配件)印尼绿色 dn32</t>
  </si>
  <si>
    <t>截止阀(PP-R 配件)印尼绿色 dn32</t>
  </si>
  <si>
    <t>截止阀(PP-R 配件)印尼绿色 dn40</t>
  </si>
  <si>
    <t>截止阀(PP-R 配件)印尼绿色 dn50</t>
  </si>
  <si>
    <t>截止阀(PP-R 配件)印尼绿色 dn63</t>
  </si>
  <si>
    <t>外螺纹弯头Ⅱ型(PP-R 配件)绿色 dn40×1-1/4＂</t>
  </si>
  <si>
    <t>内螺纹直接头Ⅱ型(PP-R 配件)绿色 dn50×1-1/4＂</t>
  </si>
  <si>
    <t>内螺纹三通Ⅱ型(PP-R 配件)绿色 dn20X1/2＂</t>
  </si>
  <si>
    <t>外螺纹直接头Ⅱ型(PP-R 配件)绿色 dn50×1-1/4＂</t>
  </si>
  <si>
    <t>内螺纹弯头Ⅱ型(PP-R 配件)绿色 dn50×1-1/2＂</t>
  </si>
  <si>
    <t>外螺纹三通Ⅱ型(PP-R 配件)绿色 dn40×1-1/4＂</t>
  </si>
  <si>
    <t>内螺纹三通Ⅱ型(PP-R 配件)绿色 dn40×1-1/4＂</t>
  </si>
  <si>
    <t>内螺纹弯头带座(PP-R 配件)印尼绿色 dn20X1/2＂</t>
  </si>
  <si>
    <t>活接弯头(塑胶管与金属外螺纹连接)(PP-R 配件)印尼绿色 dn32×1/2＂</t>
  </si>
  <si>
    <t>活接弯头(塑胶管与金属外螺纹连接)(PP-R 配件)印尼绿色 dn25×3/4＂</t>
  </si>
  <si>
    <t>活接弯头(塑胶管与金属外螺纹连接)(PP-R 配件)印尼绿色 dn32×3/4＂</t>
  </si>
  <si>
    <t>活接球阀(PP-R 配件)印尼绿色 dn20</t>
  </si>
  <si>
    <t>活接球阀(PP-R 配件)印尼绿色 dn25</t>
  </si>
  <si>
    <t>活接弯头(塑胶管与金属外螺纹连接)(PP-R 配件)印尼绿色 dn25×1/2＂</t>
  </si>
  <si>
    <t>活接弯头(塑胶管与金属外螺纹连接)(PP-R 配件)印尼绿色 dn20×3/4＂</t>
  </si>
  <si>
    <t>活接弯头(塑胶管与金属外螺纹连接)(PP-R 配件)印尼绿色 dn20×1/2＂</t>
  </si>
  <si>
    <t>活接头Ⅰ(塑胶管与金属外螺纹连接)(PP-R 配件)印尼绿色 dn32×1＂</t>
  </si>
  <si>
    <t>活接头Ⅰ(塑胶管与金属外螺纹连接)(PP-R 配件)印尼绿色 dn32×3/4＂</t>
  </si>
  <si>
    <t>活接头Ⅰ(塑胶管与金属外螺纹连接)(PP-R 配件)印尼绿色 dn32×1/2＂</t>
  </si>
  <si>
    <t>活接球阀(PP-R 配件)印尼绿色 dn32</t>
  </si>
  <si>
    <t>暗阀(PP-R 配件)印尼绿色 dn20</t>
  </si>
  <si>
    <t>暗阀(PP-R 配件)印尼绿色 dn25</t>
  </si>
  <si>
    <t>活接头Ⅰ(塑胶管与金属外螺纹连接)(PP-R 配件)印尼绿色 dn25×3/4＂</t>
  </si>
  <si>
    <t>内螺纹直接头Ⅱ型(PP-R 配件)印尼绿色 dn25×3/4＂</t>
  </si>
  <si>
    <t>外螺纹弯头Ⅰ型(PP-R 配件)印尼绿色 dn32×1/2＂</t>
  </si>
  <si>
    <t>内螺纹三通Ⅰ型(PP-R 配件)印尼绿色 dn20×3/4＂</t>
  </si>
  <si>
    <t>内螺纹弯头Ⅰ型(PP-R 配件)印尼绿色 dn32×1/2＂</t>
  </si>
  <si>
    <t>双联座内螺纹三通(PP-R 配件)印尼绿色 dn20×1/2＂</t>
  </si>
  <si>
    <t>双联座内螺纹三通(PP-R 配件)印尼绿色 dn25×1/2＂</t>
  </si>
  <si>
    <t>双联座内螺纹三通(PP-R 配件)印尼绿色 dn32×3/4＂</t>
  </si>
  <si>
    <t>双联座内螺纹弯头(PP-R 配件)印尼绿色 dn25×3/4＂</t>
  </si>
  <si>
    <t>活接头Ⅰ(塑胶管与金属外螺纹连接)(PP-R 配件)印尼绿色 dn20×1/2＂</t>
  </si>
  <si>
    <t>活接头Ⅰ(塑胶管与金属外螺纹连接)(PP-R 配件)印尼绿色 dn20×3/4＂</t>
  </si>
  <si>
    <t>活接头Ⅰ(塑胶管与金属外螺纹连接)(PP-R 配件)印尼绿色 dn25×1/2＂</t>
  </si>
  <si>
    <t>内螺纹单活接球阀Ⅱ型(PP-R 配件)印尼绿色 dn32×1＂</t>
  </si>
  <si>
    <t>双活接球阀(承口连接)Ⅱ型(PP-R 配件)印尼绿色 dn40</t>
  </si>
  <si>
    <t>双活接球阀(承口连接)Ⅱ型(PP-R 配件)印尼绿色 dn50</t>
  </si>
  <si>
    <t>双活接球阀(承口连接)Ⅱ型(PP-R 配件)印尼绿色 dn63</t>
  </si>
  <si>
    <t>内螺纹三通Ⅱ型(PP-R 配件)印尼绿色 dn20×1/2＂</t>
  </si>
  <si>
    <t>内螺纹弯头Ⅰ型(PP-R 配件)印尼绿色 dn16×1/2＂</t>
  </si>
  <si>
    <t>内螺纹弯头Ⅱ型(PP-R 配件)印尼绿色 dn20×1/2＂</t>
  </si>
  <si>
    <t>内螺纹弯头带座(PP-R 配件)印尼绿色 dn20×3/4＂</t>
  </si>
  <si>
    <t>内螺纹弯头带座(PP-R 配件)印尼绿色 dn25×1/2＂</t>
  </si>
  <si>
    <t>内螺纹弯头带座(PP-R 配件)印尼绿色 dn25×3/4＂</t>
  </si>
  <si>
    <t>内螺纹直接头Ⅰ型(PP-R 配件)印尼绿色 dn16×1/2＂</t>
  </si>
  <si>
    <t>内螺纹直接头Ⅱ型(PP-R 配件)印尼绿色 dn50×1-1/4＂</t>
  </si>
  <si>
    <t>外螺纹弯头带座(PP-R 配件)印尼绿色 dn20×3/4＂</t>
  </si>
  <si>
    <t>外螺纹弯头带座(PP-R 配件)印尼绿色 dn25×1/2＂</t>
  </si>
  <si>
    <t>外螺纹弯头带座(PP-R 配件)印尼绿色 dn25×3/4＂</t>
  </si>
  <si>
    <t>外螺纹直接头Ⅰ型(PP-R 配件)印尼绿色 dn16×1/2＂</t>
  </si>
  <si>
    <t>外螺纹直接头Ⅱ型(PP-R 配件)印尼绿色 dn50×1-1/4＂</t>
  </si>
  <si>
    <t>外螺纹单活接球阀Ⅱ型(PP-R 配件)印尼绿色 dn50×1-1/2＂</t>
  </si>
  <si>
    <t>内螺纹单活接球阀Ⅱ型(PP-R 配件)印尼绿色 dn25×3/4＂</t>
  </si>
  <si>
    <t>外螺纹单活接球阀Ⅱ型(PP-R 配件)印尼绿色 dn20×1/2＂</t>
  </si>
  <si>
    <t>外螺纹单活接球阀Ⅱ型(PP-R 配件)印尼绿色 dn25×3/4＂</t>
  </si>
  <si>
    <t>外螺纹单活接球阀Ⅱ型(PP-R 配件)印尼绿色 dn32×1＂</t>
  </si>
  <si>
    <t>内螺纹单活接球阀Ⅱ型(PP-R 配件)印尼绿色 dn20×1/2＂</t>
  </si>
  <si>
    <t>内螺纹直接头Ⅱ型(PP-R 配件)印尼绿色 dn20×3/4＂</t>
  </si>
  <si>
    <t>内螺纹三通Ⅰ型(PP-R 配件)印尼绿色 dn32×1/2＂</t>
  </si>
  <si>
    <t>内螺纹三通Ⅰ型(PP-R 配件)印尼绿色 dn32×3/4＂</t>
  </si>
  <si>
    <t>内螺纹三通Ⅱ型(PP-R 配件)印尼绿色 dn32×1＂</t>
  </si>
  <si>
    <t>外螺纹三通Ⅰ型(PP-R 配件)印尼绿色 dn20×1/2＂</t>
  </si>
  <si>
    <t>内螺纹直接头Ⅰ型(PP-R 配件)印尼绿色 dn25×3/4＂</t>
  </si>
  <si>
    <t>内螺纹弯头Ⅱ型(PP-R 配件)印尼绿色 dn32×1＂</t>
  </si>
  <si>
    <t>外螺纹三通Ⅰ型(PP-R 配件)印尼绿色 dn20×3/4＂</t>
  </si>
  <si>
    <t>外螺纹三通Ⅰ型(PP-R 配件)印尼绿色 dn25×1/2＂</t>
  </si>
  <si>
    <t>外螺纹三通Ⅰ型(PP-R 配件)印尼绿色 dn25×3/4＂</t>
  </si>
  <si>
    <t>外螺纹三通Ⅰ型(PP-R 配件)印尼绿色 dn32×1/2＂</t>
  </si>
  <si>
    <t>外螺纹三通Ⅰ型(PP-R 配件)印尼绿色 dn32×3/4＂</t>
  </si>
  <si>
    <t>外螺纹三通Ⅱ型(PP-R 配件)印尼绿色 dn32×1＂</t>
  </si>
  <si>
    <t>外螺纹直接头Ⅰ型(PP-R 配件)印尼绿色 dn20×1/2＂</t>
  </si>
  <si>
    <t>外螺纹直接头Ⅰ型(PP-R 配件)印尼绿色 dn25×1/2＂</t>
  </si>
  <si>
    <t>外螺纹直接头Ⅰ型(PP-R 配件)印尼绿色 dn25×3/4＂</t>
  </si>
  <si>
    <t>外螺纹直接头Ⅰ型(PP-R 配件)印尼绿色 dn32×1/2＂</t>
  </si>
  <si>
    <t>外螺纹直接头Ⅱ型(PP-R 配件)印尼绿色 dn40×1-1/4＂</t>
  </si>
  <si>
    <t>外螺纹直接头Ⅱ型(PP-R 配件)印尼绿色 dn50×1-1/2＂</t>
  </si>
  <si>
    <t>外螺纹直接头Ⅱ型(PP-R 配件)印尼绿色 dn63×2＂</t>
  </si>
  <si>
    <t>外螺纹直接头Ⅱ型(PP-R 配件)印尼绿色 dn32×1＂</t>
  </si>
  <si>
    <t>内螺纹直接头Ⅰ型(PP-R 配件)印尼绿色 dn32×3/4＂</t>
  </si>
  <si>
    <t>内螺纹三通Ⅰ型(PP-R 配件)印尼绿色 dn25×3/4＂</t>
  </si>
  <si>
    <t>内螺纹三通Ⅰ型(PP-R 配件)印尼绿色 dn20×1/2＂</t>
  </si>
  <si>
    <t>内螺纹三通Ⅰ型(PP-R 配件)印尼绿色 dn25×1/2＂</t>
  </si>
  <si>
    <t>外螺纹直接头Ⅰ型(PP-R 配件)印尼绿色 dn32×3/4＂</t>
  </si>
  <si>
    <t>外螺纹管接头(金属与塑胶)(PP-R 配件)印尼绿色 dn32×1＂</t>
  </si>
  <si>
    <t>内螺纹直接头Ⅱ型(PP-R 配件)印尼绿色 dn75×2＂</t>
  </si>
  <si>
    <t>外螺纹直接头Ⅱ型(PP-R 配件)印尼绿色 dn75×2＂</t>
  </si>
  <si>
    <t>双联座内螺纹弯头(PP-R 配件)印尼绿色 dn20×1/2＂</t>
  </si>
  <si>
    <t>双联座内螺纹弯头(PP-R 配件)印尼绿色 dn25×1/2＂</t>
  </si>
  <si>
    <t>外螺纹弯头带座(PP-R 配件)印尼绿色 dn20X1/2＂</t>
  </si>
  <si>
    <t>内螺纹直接头Ⅱ型(PP-R 配件)印尼绿色 dn20×1/2＂</t>
  </si>
  <si>
    <t>内螺纹管接头(金属与塑胶)(PP-R 配件)印尼绿色 dn32×1＂</t>
  </si>
  <si>
    <t>内螺纹弯头Ⅰ型(PP-R 配件)印尼绿色 dn20X1/2＂</t>
  </si>
  <si>
    <t>内螺纹弯头Ⅰ型(PP-R 配件)印尼绿色 dn32X3/4＂</t>
  </si>
  <si>
    <t>外螺纹弯头Ⅰ型(PP-R 配件)印尼绿色 dn32X3/4＂</t>
  </si>
  <si>
    <t>外螺纹弯头Ⅱ型(PP-R 配件)绿色 dn63X2＂</t>
  </si>
  <si>
    <t>外螺纹三通Ⅱ型(PP-R 配件)绿色 dn50×1-1/2＂</t>
  </si>
  <si>
    <t>内螺纹管接头(金属与塑胶)(PP-R 配件)印尼绿色 dn20×1/2＂</t>
  </si>
  <si>
    <t>内螺纹管接头(金属与塑胶)(PP-R 配件)印尼绿色 dn25×3/4＂</t>
  </si>
  <si>
    <t>外螺纹管接头(金属与塑胶)(PP-R 配件)印尼绿色 dn20×1/2＂</t>
  </si>
  <si>
    <t>外螺纹管接头(金属与塑胶)(PP-R 配件)印尼绿色 dn25×3/4＂</t>
  </si>
  <si>
    <t>内螺纹管接头(金属与塑胶)(PP-R 配件)印尼绿色 dn25×1＂</t>
  </si>
  <si>
    <t>内螺纹管接头(金属与塑胶)(PP-R 配件)印尼绿色 dn32×3/4＂</t>
  </si>
  <si>
    <t>外螺纹管接头(金属与塑胶)(PP-R 配件)印尼绿色 dn25×1＂</t>
  </si>
  <si>
    <t>外螺纹管接头(金属与塑胶)(PP-R 配件)印尼绿色 dn32×3/4＂</t>
  </si>
  <si>
    <t>内螺纹直接头Ⅰ型(PP-R 配件)印尼绿色 dn20×3/4＂</t>
  </si>
  <si>
    <t>内螺纹直接头Ⅰ型(PP-R 配件)印尼绿色 dn32×1/2＂</t>
  </si>
  <si>
    <t>内螺纹直接头Ⅱ型(PP-R 配件)印尼绿色 dn40×1＂</t>
  </si>
  <si>
    <t>外螺纹直接头Ⅰ型(PP-R 配件)印尼绿色 dn20×3/4＂</t>
  </si>
  <si>
    <t>外螺纹直接头Ⅱ型(PP-R 配件)印尼绿色 dn40×1＂</t>
  </si>
  <si>
    <t>外螺纹弯头Ⅰ型(PP-R 配件)印尼绿色 dn20×3/4＂</t>
  </si>
  <si>
    <t>内螺纹弯头Ⅰ型(PP-R 配件)印尼绿色 dn20×3/4＂</t>
  </si>
  <si>
    <t>内螺纹单活接球阀Ⅱ型(PP-R 配件)印尼绿色 dn50×1-1/2＂</t>
  </si>
  <si>
    <t>外螺纹单活接球阀Ⅱ型(PP-R 配件)印尼绿色 dn63×2＂</t>
  </si>
  <si>
    <t>内螺纹单活接球阀Ⅱ型(PP-R 配件)印尼绿色 dn63×2＂</t>
  </si>
  <si>
    <t>活接三通(PP-R 配件)印尼绿色 dn20×1/2＂</t>
  </si>
  <si>
    <t>活接三通(PP-R 配件)印尼绿色 dn25×1/2＂</t>
  </si>
  <si>
    <t>活接三通(PP-R 配件)印尼绿色 dn25×3/4＂</t>
  </si>
  <si>
    <t>内螺纹弯头Ⅱ型(PP-R 配件)印尼绿色 dn50×1-1/2＂</t>
  </si>
  <si>
    <t>外螺纹弯头Ⅱ型(PP-R 配件)印尼绿色 dn40×1-1/4＂</t>
  </si>
  <si>
    <t>外螺纹弯头Ⅱ型(PP-R 配件)印尼绿色 dn63×2＂</t>
  </si>
  <si>
    <t>外螺纹弯头Ⅱ型(PP-R 配件)印尼绿色 dn75×2-1/2＂</t>
  </si>
  <si>
    <t>活接三通(PP-R 配件)印尼绿色 dn20×3/4＂</t>
  </si>
  <si>
    <t>活接三通(PP-R 配件)印尼绿色 dn32×1＂</t>
  </si>
  <si>
    <t>内螺纹三通Ⅱ型(PP-R 配件)印尼绿色 dn40×1-1/4＂</t>
  </si>
  <si>
    <t>内螺纹三通Ⅱ型(PP-R 配件)印尼绿色 dn50×1-1/2＂</t>
  </si>
  <si>
    <t>内螺纹弯头Ⅱ型(PP-R 配件)印尼绿色 dn40×1-1/4＂</t>
  </si>
  <si>
    <t>内螺纹弯头Ⅱ型(PP-R 配件)印尼绿色 dn63×2＂</t>
  </si>
  <si>
    <t>外螺纹三通Ⅱ型(PP-R 配件)印尼绿色 dn40×1-1/4＂</t>
  </si>
  <si>
    <t>外螺纹三通Ⅱ型(PP-R 配件)印尼绿色 dn50×1-1/2＂</t>
  </si>
  <si>
    <t>外螺纹三通Ⅱ型(PP-R 配件)印尼绿色 dn63×2＂</t>
  </si>
  <si>
    <t>外螺纹三通Ⅱ型(PP-R 配件)印尼绿色 dn75×2-1/2＂</t>
  </si>
  <si>
    <t>外螺纹弯头Ⅱ型(PP-R 配件)印尼绿色 dn50×1-1/2＂</t>
  </si>
  <si>
    <t>活接头Ⅰ(塑胶管与金属外螺纹连接)(PP-R 配件)印尼绿色 dn40×1＂</t>
  </si>
  <si>
    <t>活接头Ⅰ(塑胶管与金属外螺纹连接)(PP-R 配件)印尼绿色 40×1-1/4＂</t>
  </si>
  <si>
    <t>活接弯头(塑胶管与金属外螺纹连接)(PP-R 配件)印尼绿色 dn50×1＂</t>
  </si>
  <si>
    <t>活接弯头(塑胶管与金属外螺纹连接)(PP-R 配件)印尼绿色 50×1-1/4＂</t>
  </si>
  <si>
    <t>外螺纹三通Ⅱ型(PP-R 配件)印尼绿色 dn25×1＂</t>
  </si>
  <si>
    <t>活接头Ⅰ(塑胶管与金属外螺纹连接)(PP-R 配件)印尼绿色 50×1-1/2＂</t>
  </si>
  <si>
    <t>活接弯头(塑胶管与金属外螺纹连接)(PP-R 配件)印尼绿色 dn40×1＂</t>
  </si>
  <si>
    <t>活接弯头(塑胶管与金属外螺纹连接)(PP-R 配件)印尼绿色 40×1-1/4＂</t>
  </si>
  <si>
    <t>外螺纹三通Ⅱ型(PP-R 配件)印尼绿色 dn40×1＂</t>
  </si>
  <si>
    <t>外螺纹三通Ⅱ型(PP-R 配件)印尼绿色 dn50×1＂</t>
  </si>
  <si>
    <t>双联座内螺纹弯头(PP-R 配件)印尼绿色 dn32×3/4＂</t>
  </si>
  <si>
    <t>双联座内螺纹三通(PP-R 配件)印尼绿色 dn32×1/2＂</t>
  </si>
  <si>
    <t>外螺纹管接头(金属与塑胶)(PP-R 配件)印尼绿色 dn40×1-1/4＂</t>
  </si>
  <si>
    <t>外螺纹管接头(金属与塑胶)(PP-R 配件)印尼绿色 dn63×2＂</t>
  </si>
  <si>
    <t>外螺纹管接头(金属与塑胶)(PP-R 配件)印尼绿色 dn50×1-1/2＂</t>
  </si>
  <si>
    <t>截止阀(PP-R 配件)印尼绿色 dn75</t>
  </si>
  <si>
    <t>截止阀(PP-R 配件)印尼绿色 dn90</t>
  </si>
  <si>
    <t>截止阀(PP-R 配件)印尼绿色 dn110</t>
  </si>
  <si>
    <t>内螺纹三通Ⅱ型(PP-R 配件)印尼绿色 dn63X2＂</t>
  </si>
  <si>
    <t>活接头Ⅰ(塑胶管与金属外螺纹连接)(PP-R 配件)印尼绿色 dn40×3/4＂</t>
  </si>
  <si>
    <t>活接头Ⅰ(塑胶管与金属外螺纹连接)(PP-R 配件)印尼绿色 dn50×1＂</t>
  </si>
  <si>
    <t>活接头Ⅰ(塑胶管与金属外螺纹连接)(PP-R 配件)印尼绿色 50×1-1/4＂</t>
  </si>
  <si>
    <t>直通(PP-R 配件)印尼绿色 dn32</t>
  </si>
  <si>
    <t>PPR配件（塑件）</t>
  </si>
  <si>
    <t>直通(PP-R 配件)印尼绿色 dn40</t>
  </si>
  <si>
    <t>直通(PP-R 配件)印尼绿色 dn50</t>
  </si>
  <si>
    <t>直通(PP-R 配件)印尼绿色 dn63</t>
  </si>
  <si>
    <t>直通(PP-R 配件)印尼绿色 dn75</t>
  </si>
  <si>
    <t>直通(PP-R 配件)印尼绿色 dn90</t>
  </si>
  <si>
    <t>直通(PP-R 配件)印尼绿色 dn110</t>
  </si>
  <si>
    <t>直通(PP-R 配件)印尼绿色 dn160</t>
  </si>
  <si>
    <t>90°弯头(PP-R 配件)印尼绿色 dn20</t>
  </si>
  <si>
    <t>90°弯头(PP-R 配件)印尼绿色 dn25</t>
  </si>
  <si>
    <t>直通(PP-R 配件)印尼绿色 dn25</t>
  </si>
  <si>
    <t>90°异径三通(PP-R 配件)印尼绿色 dn110X75</t>
  </si>
  <si>
    <t>90°异径三通(PP-R 配件)印尼绿色 dn110X90</t>
  </si>
  <si>
    <t>90°异径三通(PP-R 配件)印尼绿色 dn25X20</t>
  </si>
  <si>
    <t>90°异径三通(PP-R 配件)印尼绿色 dn32X20</t>
  </si>
  <si>
    <t>90°异径三通(PP-R 配件)印尼绿色 dn32X25</t>
  </si>
  <si>
    <t>90°异径三通(PP-R 配件)印尼绿色 dn40X25</t>
  </si>
  <si>
    <t>90°异径三通(PP-R 配件)印尼绿色 dn40X32</t>
  </si>
  <si>
    <t>90°异径三通(PP-R 配件)印尼绿色 dn50X20</t>
  </si>
  <si>
    <t>90°异径三通(PP-R 配件)印尼绿色 dn50X25</t>
  </si>
  <si>
    <t>90°异径三通(PP-R 配件)印尼绿色 dn90X50</t>
  </si>
  <si>
    <t>90°异径三通(PP-R 配件)印尼绿色 dn90X63</t>
  </si>
  <si>
    <t>90°异径三通(PP-R 配件)印尼绿色 dn40X20</t>
  </si>
  <si>
    <t>90°异径三通(PP-R 配件)印尼绿色 dn50X32</t>
  </si>
  <si>
    <t>90°异径三通(PP-R 配件)印尼绿色 dn50X40</t>
  </si>
  <si>
    <t>90°异径三通(PP-R 配件)印尼绿色 dn63X25</t>
  </si>
  <si>
    <t>90°异径三通(PP-R 配件)印尼绿色 dn63X32</t>
  </si>
  <si>
    <t>90°异径三通(PP-R 配件)印尼绿色 dn63X40</t>
  </si>
  <si>
    <t>90°异径三通(PP-R 配件)印尼绿色 dn63X50</t>
  </si>
  <si>
    <t>90°异径三通(PP-R 配件)印尼绿色 dn75X40</t>
  </si>
  <si>
    <t>90°异径三通(PP-R 配件)印尼绿色 dn75X50</t>
  </si>
  <si>
    <t>90°异径三通(PP-R 配件)印尼绿色 dn75X63</t>
  </si>
  <si>
    <t>直通(PP-R 配件)印尼绿色 dn20</t>
  </si>
  <si>
    <t>90°弯头(PP-R 配件)印尼绿色 dn32</t>
  </si>
  <si>
    <t>管帽(PP-R 配件)印尼绿色 dn75</t>
  </si>
  <si>
    <t>管帽(PP-R 配件)印尼绿色 dn90</t>
  </si>
  <si>
    <t>管帽(PP-R 配件)印尼绿色 dn110</t>
  </si>
  <si>
    <t>管卡(PP-R 配件)印尼绿色 dn20</t>
  </si>
  <si>
    <t>管卡(PP-R 配件)印尼绿色 dn25</t>
  </si>
  <si>
    <t>管卡(PP-R 配件)印尼绿色 dn32</t>
  </si>
  <si>
    <t>管卡(PP-R 配件)印尼绿色 dn40</t>
  </si>
  <si>
    <t>管卡(PP-R 配件)印尼绿色 dn50</t>
  </si>
  <si>
    <t>45°弯头(PP-R 配件)印尼绿色 dn20</t>
  </si>
  <si>
    <t>45°弯头(PP-R 配件)印尼绿色 dn25</t>
  </si>
  <si>
    <t>45°弯头(PP-R 配件)印尼绿色 dn32</t>
  </si>
  <si>
    <t>45°弯头(PP-R 配件)印尼绿色 dn40</t>
  </si>
  <si>
    <t>45°弯头(PP-R 配件)印尼绿色 dn50</t>
  </si>
  <si>
    <t>45°弯头(PP-R 配件)印尼绿色 dn63</t>
  </si>
  <si>
    <t>45°弯头(PP-R 配件)印尼绿色 dn75</t>
  </si>
  <si>
    <t>45°弯头(PP-R 配件)印尼绿色 dn90</t>
  </si>
  <si>
    <t>45°弯头(PP-R 配件)印尼绿色 dn110</t>
  </si>
  <si>
    <t>45°弯头(PP-R 配件)印尼绿色 dn160</t>
  </si>
  <si>
    <t>异径套(PP-R 配件)印尼绿色 dn25X20</t>
  </si>
  <si>
    <t>异径套(PP-R 配件)印尼绿色 dn32X20</t>
  </si>
  <si>
    <t>异径套(PP-R 配件)印尼绿色 dn32X25</t>
  </si>
  <si>
    <t>异径套(PP-R 配件)印尼绿色 dn40X20</t>
  </si>
  <si>
    <t>管帽(PP-R 配件)印尼绿色 dn63</t>
  </si>
  <si>
    <t>90°弯头(PP-R 配件)印尼绿色 dn40</t>
  </si>
  <si>
    <t>90°弯头(PP-R 配件)印尼绿色 dn50</t>
  </si>
  <si>
    <t>90°弯头(PP-R 配件)印尼绿色 dn63</t>
  </si>
  <si>
    <t>90°弯头(PP-R 配件)印尼绿色 dn75</t>
  </si>
  <si>
    <t>90°弯头(PP-R 配件)印尼绿色 dn90</t>
  </si>
  <si>
    <t>90°弯头(PP-R 配件)印尼绿色 dn110</t>
  </si>
  <si>
    <t>90°弯头(PP-R 配件)印尼绿色 dn160</t>
  </si>
  <si>
    <t>90°等径三通(PP-R 配件)印尼绿色 dn20</t>
  </si>
  <si>
    <t>90°等径三通(PP-R 配件)印尼绿色 dn25</t>
  </si>
  <si>
    <t>90°等径三通(PP-R 配件)印尼绿色 dn32</t>
  </si>
  <si>
    <t>90°等径三通(PP-R 配件)印尼绿色 dn40</t>
  </si>
  <si>
    <t>90°等径三通(PP-R 配件)印尼绿色 dn50</t>
  </si>
  <si>
    <t>90°等径三通(PP-R 配件)印尼绿色 dn63</t>
  </si>
  <si>
    <t>90°等径三通(PP-R 配件)印尼绿色 dn75</t>
  </si>
  <si>
    <t>90°等径三通(PP-R 配件)印尼绿色 dn90</t>
  </si>
  <si>
    <t>90°等径三通(PP-R 配件)印尼绿色 dn110</t>
  </si>
  <si>
    <t>90°等径三通(PP-R 配件)印尼绿色 dn160</t>
  </si>
  <si>
    <t>管帽(PP-R 配件)印尼绿色 dn20</t>
  </si>
  <si>
    <t>管帽(PP-R 配件)印尼绿色 dn25</t>
  </si>
  <si>
    <t>管帽(PP-R 配件)印尼绿色 dn32</t>
  </si>
  <si>
    <t>管帽(PP-R 配件)印尼绿色 dn40</t>
  </si>
  <si>
    <t>管帽(PP-R 配件)印尼绿色 dn50</t>
  </si>
  <si>
    <t>90°异径三通(PP-R 配件)印尼绿色 dn110X63</t>
  </si>
  <si>
    <t>法兰盘(PP-R 配件) dn160</t>
  </si>
  <si>
    <t>法兰盘(PP-R 配件) dn50</t>
  </si>
  <si>
    <t>法兰盘(PP-R 配件) dn63</t>
  </si>
  <si>
    <t>法兰盘(PP-R 配件) dn75</t>
  </si>
  <si>
    <t>法兰盘(PP-R 配件) dn90</t>
  </si>
  <si>
    <t>橡胶垫圈(PP-R 配件)黑色 dn110</t>
  </si>
  <si>
    <t>橡胶垫圈(PP-R 配件)黑色 dn160</t>
  </si>
  <si>
    <t>橡胶垫圈(PP-R 配件)黑色 dn40</t>
  </si>
  <si>
    <t>橡胶垫圈(PP-R 配件)黑色 dn50</t>
  </si>
  <si>
    <t>橡胶垫圈(PP-R 配件)黑色 dn63</t>
  </si>
  <si>
    <t>法兰套(PP-R 配件)印尼绿色 dn40</t>
  </si>
  <si>
    <t>法兰套(PP-R 配件)印尼绿色 dn50</t>
  </si>
  <si>
    <t>法兰套(PP-R 配件)印尼绿色 dn63</t>
  </si>
  <si>
    <t>法兰套(PP-R 配件)印尼绿色 dn110</t>
  </si>
  <si>
    <t>法兰套(PP-R 配件)印尼绿色 dn90</t>
  </si>
  <si>
    <t>活接头Ⅱ(塑胶管与塑胶管连接)(PP-R 配件)印尼绿色 dn20</t>
  </si>
  <si>
    <t>活接头Ⅱ(塑胶管与塑胶管连接)(PP-R 配件)印尼绿色 dn32</t>
  </si>
  <si>
    <t>冷水过桥弯管1.6(PP-R 配件)印尼绿色 dn20</t>
  </si>
  <si>
    <t>90°异径三通(PP-R 配件)印尼绿色 dn90X40</t>
  </si>
  <si>
    <t>90°异径三通(PP-R 配件)印尼绿色 dn90X75</t>
  </si>
  <si>
    <t>90°异径三通(PP-R 配件)印尼绿色 dn110X50</t>
  </si>
  <si>
    <t>法兰套(PP-R 配件)印尼绿色 dn75</t>
  </si>
  <si>
    <t>橡胶垫圈(PP-R 配件)黑色 dn75</t>
  </si>
  <si>
    <t>橡胶垫圈(PP-R 配件)黑色 dn90</t>
  </si>
  <si>
    <t>焊接机1000Wdn20-63(PP-R 配件)</t>
  </si>
  <si>
    <t>焊接机1600Wdn75-110(PP-R 配件)</t>
  </si>
  <si>
    <t>焊接机2500Wdn160(PP-R 配件)</t>
  </si>
  <si>
    <t>剪刀(PP-R 配件) dn16-32</t>
  </si>
  <si>
    <t>法兰盘(PP-R 配件) dn40</t>
  </si>
  <si>
    <t>法兰盘(PP-R 配件) dn110</t>
  </si>
  <si>
    <t>法兰套(PP-R 配件)印尼绿色 dn160</t>
  </si>
  <si>
    <t>活接头Ⅱ(塑胶管与塑胶管连接)(PP-R 配件)印尼绿色 dn25</t>
  </si>
  <si>
    <t>异径套(PP-R 配件)印尼绿色 dn40X25</t>
  </si>
  <si>
    <t>正四通(PP-R 配件)印尼绿色 dn40</t>
  </si>
  <si>
    <t>正四通(PP-R 配件)印尼绿色 dn50</t>
  </si>
  <si>
    <t>90°异径弯头(PP-R 配件)印尼绿色 dn40×32</t>
  </si>
  <si>
    <t>90°异径弯头(PP-R 配件)印尼绿色 dn50×20</t>
  </si>
  <si>
    <t>90°异径弯头(PP-R 配件)印尼绿色 dn50×25</t>
  </si>
  <si>
    <t>90°异径弯头(PP-R 配件)印尼绿色 dn50×32</t>
  </si>
  <si>
    <t>90°异径弯头(PP-R 配件)印尼绿色 dn50×40</t>
  </si>
  <si>
    <t>45°弯头(PP-R 配件)印尼绿色 dn16</t>
  </si>
  <si>
    <t>螺纹堵头(PP-R 配件)印尼绿色 dn1/2＂</t>
  </si>
  <si>
    <t>螺纹堵头(PP-R 配件)印尼绿色 dn3/4＂</t>
  </si>
  <si>
    <t>螺纹堵头(PP-R 配件)印尼绿色 dn1＂</t>
  </si>
  <si>
    <t>冷水过桥弯管1.6(PP-R 配件)印尼绿色 dn25</t>
  </si>
  <si>
    <t>冷水过桥弯管1.6(PP-R 配件)印尼绿色 dn32</t>
  </si>
  <si>
    <t>热水过桥弯管2.5(PP-R 配件)印尼绿色 dn20</t>
  </si>
  <si>
    <t>热水过桥弯管2.5(PP-R 配件)印尼绿色 dn25</t>
  </si>
  <si>
    <t>热水过桥弯管2.5(PP-R 配件)印尼绿色 dn32</t>
  </si>
  <si>
    <t>注塑过桥弯(PP-R 配件)印尼绿色 dn20</t>
  </si>
  <si>
    <t>注塑过桥弯(PP-R 配件)印尼绿色 dn25</t>
  </si>
  <si>
    <t>注塑过桥弯(PP-R 配件)印尼绿色 dn32</t>
  </si>
  <si>
    <t>90°弯头(PP-R 配件)印尼绿色 dn16</t>
  </si>
  <si>
    <t>异径套(PP-R 配件)印尼绿色 dn20×16</t>
  </si>
  <si>
    <t>异径套(PP-R 配件)印尼绿色 dn25×16</t>
  </si>
  <si>
    <t>异径套(PP-R 配件)印尼绿色 dn32×16</t>
  </si>
  <si>
    <t>直通(PP-R 配件)印尼绿色 dn16</t>
  </si>
  <si>
    <t>90°等径三通(PP-R 配件)印尼绿色 dn16</t>
  </si>
  <si>
    <t>90°异径三通(PP-R 配件)印尼绿色 dn20×16</t>
  </si>
  <si>
    <t>90°异径三通(PP-R 配件)印尼绿色 dn25×16</t>
  </si>
  <si>
    <t>90°异径三通(PP-R 配件)印尼绿色 dn32×16</t>
  </si>
  <si>
    <t>90°异径弯头(PP-R 配件)印尼绿色 dn40×20</t>
  </si>
  <si>
    <t>90°异径弯头(PP-R 配件)印尼绿色 dn40×25</t>
  </si>
  <si>
    <t>管接盖(PP-R 配件)印尼绿色 dn110</t>
  </si>
  <si>
    <t>管接盖(PP-R 配件)印尼绿色 dn16</t>
  </si>
  <si>
    <t>管接盖(PP-R 配件)印尼绿色 dn160</t>
  </si>
  <si>
    <t>管接盖(PP-R 配件)印尼绿色 dn20</t>
  </si>
  <si>
    <t>管接盖(PP-R 配件)印尼绿色 dn25</t>
  </si>
  <si>
    <t>管接盖(PP-R 配件)印尼绿色 dn32</t>
  </si>
  <si>
    <t>管接盖(PP-R 配件)印尼绿色 dn40</t>
  </si>
  <si>
    <t>管接盖(PP-R 配件)印尼绿色 dn50</t>
  </si>
  <si>
    <t>管接盖(PP-R 配件)印尼绿色 dn63</t>
  </si>
  <si>
    <t>管接盖(PP-R 配件)印尼绿色 dn75</t>
  </si>
  <si>
    <t>管接盖(PP-R 配件)印尼绿色 dn90</t>
  </si>
  <si>
    <t>管帽(PP-R 配件)印尼绿色 dn16</t>
  </si>
  <si>
    <t>异径套(PP-R 配件)印尼绿色 dn90X63</t>
  </si>
  <si>
    <t>异径套(PP-R 配件)印尼绿色 dn40X32</t>
  </si>
  <si>
    <t>异径套(PP-R 配件)印尼绿色 dn50X20</t>
  </si>
  <si>
    <t>异径套(PP-R 配件)印尼绿色 dn50X25</t>
  </si>
  <si>
    <t>异径套(PP-R 配件)印尼绿色 dn50X32</t>
  </si>
  <si>
    <t>异径套(PP-R 配件)印尼绿色 dn50X40</t>
  </si>
  <si>
    <t>异径套(PP-R 配件)印尼绿色 dn63X25</t>
  </si>
  <si>
    <t>异径套(PP-R 配件)印尼绿色 dn63X32</t>
  </si>
  <si>
    <t>异径套(PP-R 配件)印尼绿色 dn63X40</t>
  </si>
  <si>
    <t>异径套(PP-R 配件)印尼绿色 dn63X50</t>
  </si>
  <si>
    <t>异径套(PP-R 配件)印尼绿色 dn75X40</t>
  </si>
  <si>
    <t>异径套(PP-R 配件)印尼绿色 dn75X50</t>
  </si>
  <si>
    <t>异径套(PP-R 配件)印尼绿色 dn75X63</t>
  </si>
  <si>
    <t>异径套(PP-R 配件)印尼绿色 dn90X40</t>
  </si>
  <si>
    <t>异径套(PP-R 配件)印尼绿色 dn90X50</t>
  </si>
  <si>
    <t>异径套(PP-R 配件)印尼绿色 dn90X75</t>
  </si>
  <si>
    <t>异径套(PP-R 配件)印尼绿色 dn110X50</t>
  </si>
  <si>
    <t>异径套(PP-R 配件)印尼绿色 dn110X63</t>
  </si>
  <si>
    <t>异径套(PP-R 配件)印尼绿色 dn110X75</t>
  </si>
  <si>
    <t>异径套(PP-R 配件)印尼绿色 dn110X90</t>
  </si>
  <si>
    <t>异径套(PP-R 配件)印尼绿色 dn160X110</t>
  </si>
  <si>
    <t>异径套(PP-R 配件)印尼绿色 dn75X32</t>
  </si>
  <si>
    <t>22.5°弯头(PP-R 配件)印尼绿色 dn20</t>
  </si>
  <si>
    <t>22.5°弯头(PP-R 配件)印尼绿色 dn25</t>
  </si>
  <si>
    <t>22.5°弯头(PP-R 配件)印尼绿色 dn32</t>
  </si>
  <si>
    <t>45°异径弯头(PP-R 配件)印尼绿色 dn25×20</t>
  </si>
  <si>
    <t>45°异径弯头(PP-R 配件)印尼绿色 dn32×20</t>
  </si>
  <si>
    <t>45°异径弯头(PP-R 配件)印尼绿色 dn32×25</t>
  </si>
  <si>
    <t>90°异径弯头(PP-R 配件)印尼绿色 dn25×20</t>
  </si>
  <si>
    <t>90°异径弯头(PP-R 配件)印尼绿色 dn32×20</t>
  </si>
  <si>
    <t>90°异径弯头(PP-R 配件)印尼绿色 dn32×25</t>
  </si>
  <si>
    <t>90°异径三通(PP-R 配件)印尼绿色 dn20×25×20</t>
  </si>
  <si>
    <t>90°异径三通(PP-R 配件)印尼绿色 dn25×20×20</t>
  </si>
  <si>
    <t>正四通(PP-R 配件)印尼绿色 dn20</t>
  </si>
  <si>
    <t>正四通(PP-R 配件)印尼绿色 dn25</t>
  </si>
  <si>
    <t>正四通(PP-R 配件)印尼绿色 dn32</t>
  </si>
  <si>
    <t>管帽(PP-R 配件)印尼绿色 dn160</t>
  </si>
  <si>
    <t>90°异径三通(PP-R 配件)印尼绿色 dn75X32</t>
  </si>
  <si>
    <t>注塑过桥弯Ⅱ(PP-R 配件)印尼绿色 dn32</t>
  </si>
  <si>
    <t>45°异径弯头(PP-R 配件)印尼绿色 dn50×32</t>
  </si>
  <si>
    <t>45°异径弯头(PP-R 配件)印尼绿色 dn50×40</t>
  </si>
  <si>
    <t>90°异径弯头(PP-R 配件)印尼绿色 dn63×25</t>
  </si>
  <si>
    <t>22.5°弯头(PP-R 配件)印尼绿色 dn40</t>
  </si>
  <si>
    <t>22.5°弯头(PP-R 配件)印尼绿色 dn50</t>
  </si>
  <si>
    <t>Ⅰ型管卡(不配爆破螺丝)(PP-R 配件)印尼绿色 dn32</t>
  </si>
  <si>
    <t>Ⅰ型管卡(配爆破螺丝)(PP-R 配件)印尼绿色 dn32</t>
  </si>
  <si>
    <t>Ⅰ型管卡(不配爆破螺丝)(PP-R 配件)印尼绿色 dn40</t>
  </si>
  <si>
    <t>Ⅰ型管卡(配爆破螺丝)(PP-R 配件)印尼绿色 dn40</t>
  </si>
  <si>
    <t>Ⅰ型管卡(不配爆破螺丝)(PP-R 配件)印尼绿色 dn50</t>
  </si>
  <si>
    <t>Ⅰ型管卡(配爆破螺丝)(PP-R 配件)印尼绿色 dn50</t>
  </si>
  <si>
    <t>Ⅰ型管卡(不配爆破螺丝)(PP-R 配件)印尼绿色 dn63</t>
  </si>
  <si>
    <t>Ⅰ型管卡(配爆破螺丝)(PP-R 配件)印尼绿色 dn63</t>
  </si>
  <si>
    <t>Ⅰ型管卡(不配爆破螺丝)(PP-R 配件)印尼绿色 dn75</t>
  </si>
  <si>
    <t>Ⅰ型管卡(配爆破螺丝)(PP-R 配件)印尼绿色 dn75</t>
  </si>
  <si>
    <t>Ⅰ型管卡(不配爆破螺丝)(PP-R 配件)印尼绿色 dn90</t>
  </si>
  <si>
    <t>Ⅰ型管卡(配爆破螺丝)(PP-R 配件)印尼绿色 dn90</t>
  </si>
  <si>
    <t>45°异径弯头(PP-R 配件)印尼绿色 dn40×32</t>
  </si>
  <si>
    <t>45°异径弯头(PP-R 配件)印尼绿色 dn50×20</t>
  </si>
  <si>
    <t>45°异径弯头(PP-R 配件)印尼绿色 dn50×25</t>
  </si>
  <si>
    <t>45°异径弯头(PP-R 配件)印尼绿色 dn63×25</t>
  </si>
  <si>
    <t>45°异径弯头(PP-R 配件)印尼绿色 dn63×40</t>
  </si>
  <si>
    <t>45°异径弯头(PP-R 配件)印尼绿色 dn40×25</t>
  </si>
  <si>
    <t>45°异径弯头(PP-R 配件)印尼绿色 dn40×20</t>
  </si>
  <si>
    <t>45°异径弯头(PP-R 配件)印尼绿色 dn63×50</t>
  </si>
  <si>
    <t>U型管卡(PP-R 配件)印尼绿色 dn50</t>
  </si>
  <si>
    <t>注塑过桥弯Ⅱ(PP-R 配件)印尼绿色 dn20</t>
  </si>
  <si>
    <t>注塑过桥弯Ⅱ(PP-R 配件)印尼绿色 dn25</t>
  </si>
  <si>
    <t>90°异径弯头(PP-R 配件)印尼绿色 dn63×40</t>
  </si>
  <si>
    <t>90°异径弯头(PP-R 配件)印尼绿色 dn63×50</t>
  </si>
  <si>
    <t>22.5°弯头(PP-R 配件)印尼绿色 dn63</t>
  </si>
  <si>
    <t>22.5°弯头(PP-R 配件)印尼绿色 dn110</t>
  </si>
  <si>
    <t>Ⅰ型管卡(不配爆破螺丝)(PP-R 配件)印尼绿色 dn20</t>
  </si>
  <si>
    <t>Ⅰ型管卡(配爆破螺丝)(PP-R 配件)印尼绿色 dn20</t>
  </si>
  <si>
    <t>Ⅰ型管卡(不配爆破螺丝)(PP-R 配件)印尼绿色 dn25</t>
  </si>
  <si>
    <t>Ⅰ型管卡(不配爆破螺丝)(PP-R 配件)印尼绿色 dn110</t>
  </si>
  <si>
    <t>Ⅰ型管卡(配爆破螺丝)(PP-R 配件)印尼绿色 dn110</t>
  </si>
  <si>
    <t>镶拼式管卡(PP-R 配件)印尼绿色 dn16</t>
  </si>
  <si>
    <t>镶拼式管卡(PP-R 配件)印尼绿色 dn20</t>
  </si>
  <si>
    <t>镶拼式管卡(PP-R 配件)印尼绿色 dn25</t>
  </si>
  <si>
    <t>镶拼式管卡(PP-R 配件)印尼绿色 dn32</t>
  </si>
  <si>
    <t>45°异径弯头(PP-R 配件)印尼绿色 dn63×32</t>
  </si>
  <si>
    <t>22.5°弯头(PP-R 配件)印尼绿色 dn75</t>
  </si>
  <si>
    <t>22.5°弯头(PP-R 配件)印尼绿色 dn90</t>
  </si>
  <si>
    <t>U型管卡(PP-R 配件)印尼绿色 dn25</t>
  </si>
  <si>
    <t>U型管卡(PP-R 配件)印尼绿色 dn32</t>
  </si>
  <si>
    <t>U型管卡(PP-R 配件)印尼绿色 dn40</t>
  </si>
  <si>
    <t>90°异径弯头(PP-R 配件)印尼绿色 dn63×32</t>
  </si>
  <si>
    <t>PP-R热给水直管S3.2(2.0MPa)印尼绿色 dn63 4M</t>
  </si>
  <si>
    <t>PPR管材</t>
  </si>
  <si>
    <t>PP-R热给水直管S3.2(2.0MPa)印尼绿色 dn75 4M</t>
  </si>
  <si>
    <t>PP-R热给水直管S3.2(2.0MPa)印尼绿色 dn90 4M</t>
  </si>
  <si>
    <t>PP-R热给水直管S3.2(2.0MPa)印尼绿色 dn110 4M</t>
  </si>
  <si>
    <t>PP-R冷给水直管S4(1.6MPa)印尼绿色 dn110 4M</t>
  </si>
  <si>
    <t>PP-R冷给水直管S4(1.6MPa)印尼绿色 dn20 4M</t>
  </si>
  <si>
    <t>PP-R冷给水直管S4(1.6MPa)印尼绿色 dn25 4M</t>
  </si>
  <si>
    <r>
      <rPr>
        <sz val="10"/>
        <rFont val="Arial"/>
        <family val="2"/>
      </rPr>
      <t>PP-R</t>
    </r>
    <r>
      <rPr>
        <sz val="10"/>
        <rFont val="MS Gothic"/>
        <family val="3"/>
        <charset val="128"/>
      </rPr>
      <t>冷</t>
    </r>
    <r>
      <rPr>
        <sz val="10"/>
        <rFont val="Microsoft JhengHei"/>
        <family val="2"/>
        <charset val="136"/>
      </rPr>
      <t>给水直管</t>
    </r>
    <r>
      <rPr>
        <sz val="10"/>
        <rFont val="Arial"/>
        <family val="2"/>
      </rPr>
      <t>S4(1.6MPa)</t>
    </r>
    <r>
      <rPr>
        <sz val="10"/>
        <rFont val="MS Gothic"/>
        <family val="3"/>
        <charset val="128"/>
      </rPr>
      <t>印尼</t>
    </r>
    <r>
      <rPr>
        <sz val="10"/>
        <rFont val="Microsoft JhengHei"/>
        <family val="2"/>
        <charset val="136"/>
      </rPr>
      <t>绿色</t>
    </r>
    <r>
      <rPr>
        <sz val="10"/>
        <rFont val="Arial"/>
        <family val="2"/>
      </rPr>
      <t xml:space="preserve"> dn32 4M</t>
    </r>
  </si>
  <si>
    <t>PP-R冷给水直管S4(1.6MPa)印尼绿色 dn40 4M</t>
  </si>
  <si>
    <t>PP-R冷给水直管S4(1.6MPa)印尼绿色 dn50 4M</t>
  </si>
  <si>
    <t>PP-R冷给水直管S4(1.6MPa)印尼绿色 dn63 4M</t>
  </si>
  <si>
    <t>PP-R冷给水直管S4(1.6MPa)印尼绿色 dn75 4M</t>
  </si>
  <si>
    <t>PP-R冷给水直管S4(1.6MPa)印尼绿色 dn90 4M</t>
  </si>
  <si>
    <t>PP-R热给水直管S3.2(2.0MPa)印尼绿色 dn40 4M</t>
  </si>
  <si>
    <t>PP-R热给水盘管S3.2(2.0MPa)印尼绿色 dn20 100M</t>
  </si>
  <si>
    <t>PP-R热给水盘管S3.2(2.0MPa)印尼绿色 dn25 100M</t>
  </si>
  <si>
    <t>PP-R冷给水直管S5(1.25MPa)印尼绿色 dn20 4M</t>
  </si>
  <si>
    <t>PP-R冷给水直管S5(1.25MPa)印尼绿色 dn25 4M</t>
  </si>
  <si>
    <t>PP-R冷给水直管S5(1.25MPa)印尼绿色 dn32 4M</t>
  </si>
  <si>
    <t>PP-R冷给水直管S5(1.25MPa)印尼绿色 dn40 4M</t>
  </si>
  <si>
    <t>PP-R冷给水直管S5(1.25MPa)印尼绿色 dn50 4M</t>
  </si>
  <si>
    <t>PP-R冷给水直管S5(1.25MPa)印尼绿色 dn63 4M</t>
  </si>
  <si>
    <t>PP-R冷给水直管S5(1.25MPa)印尼绿色 dn90 4M</t>
  </si>
  <si>
    <t>PP-R冷给水直管S5(1.25MPa)印尼绿色 dn110 4M</t>
  </si>
  <si>
    <t>PP-R热给水直管S3.2(2.0MPa)印尼绿色 dn25 4M</t>
  </si>
  <si>
    <t>PP-R热给水直管S3.2(2.0MPa)印尼绿色 dn50 4M</t>
  </si>
  <si>
    <t>PP-R冷给水盘管S5(1.25MPa)印尼绿色 dn20 100M</t>
  </si>
  <si>
    <t>PP-R冷给水盘管S5(1.25MPa)印尼绿色 dn25 100M</t>
  </si>
  <si>
    <t>PP-R冷给水直管S5(1.25MPa)印尼绿色 dn75 4M</t>
  </si>
  <si>
    <t>PP-R热给水直管S3.2(2.0MPa)印尼绿色 dn20 4M</t>
  </si>
  <si>
    <t>PP-R热给水盘管S3.2(2.0MPa)印尼绿色 dn32 50M</t>
  </si>
  <si>
    <t>PP-R热给水直管S3.2(2.0MPa)印尼绿色 dn32 4M</t>
  </si>
  <si>
    <t>PP-R冷给水盘管S5(1.25MPa)印尼绿色 dn32 50M</t>
  </si>
  <si>
    <t>PP-R冷给水直管S5(1.25MPa)印尼绿色 dn160 4M</t>
  </si>
  <si>
    <t>PP-R热给水直管S3.2(2.0MPa)印尼绿色 dn160 4M</t>
  </si>
  <si>
    <t>PP-R冷给水直管S4(1.6MPa)印尼绿色 dn160 4M</t>
  </si>
  <si>
    <t>PP-R冷给水直管S5(1.25MPa)印尼绿色 dn20 5.8M</t>
  </si>
  <si>
    <t>PP-R冷给水直管S5(1.25MPa)印尼绿色 dn25 5.8M</t>
  </si>
  <si>
    <t>PP-R冷给水直管S5(1.25MPa)印尼绿色 dn32 5.8M</t>
  </si>
  <si>
    <t>PP-R冷给水直管S5(1.25MPa)印尼绿色 dn40 5.8M</t>
  </si>
  <si>
    <t>PP-R冷给水直管S5(1.25MPa)印尼绿色 dn50 5.8M</t>
  </si>
  <si>
    <t>PP-R冷给水直管S5(1.25MPa)印尼绿色 dn63 5.8M</t>
  </si>
  <si>
    <t>PP-R冷给水直管S5(1.25MPa)印尼绿色 dn75 5.8M</t>
  </si>
  <si>
    <t>PP-R冷给水直管S5(1.25MPa)印尼绿色 dn90 5.8M</t>
  </si>
  <si>
    <t>PP-R冷给水直管S5(1.25MPa)印尼绿色 dn110 5.8M</t>
  </si>
  <si>
    <t>PP-R冷给水直管S5(1.25MPa)印尼绿色 dn160 5.8M</t>
  </si>
  <si>
    <t>PP-R冷给水直管S4(1.6MPa)印尼绿色 dn20 5.8M</t>
  </si>
  <si>
    <t>PP-R冷给水直管S4(1.6MPa)印尼绿色 dn25 5.8M</t>
  </si>
  <si>
    <t>PP-R冷给水直管S4(1.6MPa)印尼绿色 dn32 5.8M</t>
  </si>
  <si>
    <t>PP-R冷给水直管S4(1.6MPa)印尼绿色 dn40 5.8M</t>
  </si>
  <si>
    <t>PP-R冷给水直管S4(1.6MPa)印尼绿色 dn50 5.8M</t>
  </si>
  <si>
    <t>PP-R冷给水直管S4(1.6MPa)印尼绿色 dn63 5.8M</t>
  </si>
  <si>
    <t>PP-R冷给水直管S4(1.6MPa)印尼绿色 dn75 5.8M</t>
  </si>
  <si>
    <t>PP-R冷给水直管S4(1.6MPa)印尼绿色 dn90 5.8M</t>
  </si>
  <si>
    <t>PP-R冷给水直管S4(1.6MPa)印尼绿色 dn110 5.8M</t>
  </si>
  <si>
    <t>PP-R冷给水直管S4(1.6MPa)印尼绿色 dn160 5.8M</t>
  </si>
  <si>
    <t>PP-R热给水直管S3.2(2.0MPa)印尼绿色 dn20 5.8M</t>
  </si>
  <si>
    <t>PP-R热给水直管S3.2(2.0MPa)印尼绿色 dn25 5.8M</t>
  </si>
  <si>
    <t>PP-R热给水直管S3.2(2.0MPa)印尼绿色 dn32 5.8M</t>
  </si>
  <si>
    <t>PP-R热给水直管S3.2(2.0MPa)印尼绿色 dn40 5.8M</t>
  </si>
  <si>
    <t>PP-R热给水直管S3.2(2.0MPa)印尼绿色 dn50 5.8M</t>
  </si>
  <si>
    <t>PP-R热给水直管S3.2(2.0MPa)印尼绿色 dn63 5.8M</t>
  </si>
  <si>
    <t>PP-R热给水直管S3.2(2.0MPa)印尼绿色 dn75 5.8M</t>
  </si>
  <si>
    <t>PP-R热给水直管S3.2(2.0MPa)印尼绿色 dn90 5.8M</t>
  </si>
  <si>
    <t>PP-R热给水直管S3.2(2.0MPa)印尼绿色 dn110 5.8M</t>
  </si>
  <si>
    <t>PP-R热给水直管S3.2(2.0MPa)印尼绿色 dn160 5.8M</t>
  </si>
  <si>
    <t>(IDN)PP-R冷给水直管S5(1.0MPa)印尼绿色 dn20 4M</t>
  </si>
  <si>
    <t>(IDN)PP-R冷给水直管S5(1.0MPa)印尼绿色 dn25 4M</t>
  </si>
  <si>
    <t>(IDN)PP-R冷给水直管S5(1.0MPa)印尼绿色 dn32 4M</t>
  </si>
  <si>
    <t>(IDN)PP-R冷给水直管S5(1.0MPa)印尼绿色 dn40 4M</t>
  </si>
  <si>
    <t>(IDN)PP-R冷给水直管S5(1.0MPa)印尼绿色 dn50 4M</t>
  </si>
  <si>
    <t>(IDN)PP-R冷给水直管S5(1.0MPa)印尼绿色 dn63 4M</t>
  </si>
  <si>
    <t>(IDN)PP-R冷给水直管S5(1.0MPa)印尼绿色 dn75 4M</t>
  </si>
  <si>
    <t>(IDN)PP-R冷给水直管S5(1.0MPa)印尼绿色 dn90 4M</t>
  </si>
  <si>
    <t>(IDN)PP-R冷给水直管S5(1.0MPa)印尼绿色 dn110 4M</t>
  </si>
  <si>
    <t>(IDN)PP-R冷给水直管S5(1.0MPa)印尼绿色 dn160 4M</t>
  </si>
  <si>
    <t>(IDN)PP-R冷给水直管S4(1.25MPa)印尼绿色 dn20 4M</t>
  </si>
  <si>
    <t>(IDN)PP-R冷给水直管S4(1.25MPa)印尼绿色 dn25 4M</t>
  </si>
  <si>
    <t>(IDN)PP-R冷给水直管S4(1.25MPa)印尼绿色 dn32 4M</t>
  </si>
  <si>
    <t>(IDN)PP-R冷给水直管S4(1.25MPa)印尼绿色 dn40 4M</t>
  </si>
  <si>
    <t>(IDN)PP-R冷给水直管S4(1.25MPa)印尼绿色 dn50 4M</t>
  </si>
  <si>
    <t>(IDN)PP-R冷给水直管S4(1.25MPa)印尼绿色 dn63 4M</t>
  </si>
  <si>
    <t>(IDN)PP-R冷给水直管S4(1.25MPa)印尼绿色 dn75 4M</t>
  </si>
  <si>
    <t>(IDN)PP-R冷给水直管S4(1.25MPa)印尼绿色 dn90 4M</t>
  </si>
  <si>
    <t>(IDN)PP-R冷给水直管S4(1.25MPa)印尼绿色 dn110 4M</t>
  </si>
  <si>
    <t>(IDN)PP-R冷给水直管S4(1.25MPa)印尼绿色 dn160 4M</t>
  </si>
  <si>
    <t>(IDN)PP-R热给水直管S3.2(1.6MPa)印尼绿色 dn20 4M</t>
  </si>
  <si>
    <t>(IDN)PP-R热给水直管S3.2(1.6MPa)印尼绿色 dn25 4M</t>
  </si>
  <si>
    <t>(IDN)PP-R热给水直管S3.2(1.6MPa)印尼绿色 dn32 4M</t>
  </si>
  <si>
    <t>(IDN)PP-R热给水直管S3.2(1.6MPa)印尼绿色 dn40 4M</t>
  </si>
  <si>
    <t>(IDN)PP-R热给水直管S3.2(1.6MPa)印尼绿色 dn50 4M</t>
  </si>
  <si>
    <t>(IDN)PP-R热给水直管S3.2(1.6MPa)印尼绿色 dn63 4M</t>
  </si>
  <si>
    <t>(IDN)PP-R热给水直管S3.2(1.6MPa)印尼绿色 dn75 4M</t>
  </si>
  <si>
    <t>(IDN)PP-R热给水直管S3.2(1.6MPa)印尼绿色 dn90 4M</t>
  </si>
  <si>
    <t>(IDN)PP-R热给水直管S3.2(1.6MPa)印尼绿色 dn110 4M</t>
  </si>
  <si>
    <t>(IDN)PP-R热给水直管S3.2(1.6MPa)印尼绿色 dn160 4M</t>
  </si>
  <si>
    <t>(IDN)PP-R冷给水直管S5(1.0MPa)印尼绿色 dn125 4M</t>
  </si>
  <si>
    <t>(IDN)PP-R冷给水直管S4(1.25MPa)印尼绿色 dn125 4M</t>
  </si>
  <si>
    <t>(IDN)PP-R热给水直管S3.2(1.6MPa)印尼绿色 dn125 4M</t>
  </si>
  <si>
    <t>(IDN)PP-R热给水直管S2.5(2.0MPa)印尼绿色 dn20 4M</t>
  </si>
  <si>
    <t>(IDN)PP-R热给水直管S2.5(2.0MPa)印尼绿色 dn25 4M</t>
  </si>
  <si>
    <t>(IDN)PP-R热给水直管S2.5(2.0MPa)印尼绿色 dn32 4M</t>
  </si>
  <si>
    <t>(IDN)PP-R热给水直管S2.5(2.0MPa)印尼绿色 dn40 4M</t>
  </si>
  <si>
    <t>(IDN)PP-R热给水直管S2.5(2.0MPa)印尼绿色 dn50 4M</t>
  </si>
  <si>
    <t>(IDN)PP-R热给水直管S2.5(2.0MPa)印尼绿色 dn63 4M</t>
  </si>
  <si>
    <t>(IDN)PP-R热给水直管S2.5(2.0MPa)印尼绿色 dn75 4M</t>
  </si>
  <si>
    <t>(IDN)PP-R热给水直管S2.5(2.0MPa)印尼绿色 dn90 4M</t>
  </si>
  <si>
    <t>(IDN)PP-R热给水直管S2.5(2.0MPa)印尼绿色 dn110 4M</t>
  </si>
  <si>
    <t>(IDN)PP-R热给水直管S2.5(2.0MPa)印尼绿色 dn125 4M</t>
  </si>
  <si>
    <t>(IDN)PP-R热给水直管S2.5(2.0MPa)印尼绿色 dn160 4M</t>
  </si>
  <si>
    <t>Z005</t>
  </si>
  <si>
    <t>PE仓</t>
  </si>
  <si>
    <t>不参与返点</t>
  </si>
  <si>
    <t>PE塑料配件</t>
  </si>
  <si>
    <t>PE工具配件</t>
  </si>
  <si>
    <t>PE钢丝网骨架塑料（聚乙烯）复合管</t>
  </si>
  <si>
    <t>外丝直通(PP快速连接配件)黑色 dn25×3/4＂</t>
  </si>
  <si>
    <t>LSGT202502120079</t>
  </si>
  <si>
    <t xml:space="preserve">Ⅰ型管卡(配尖咀螺丝)(PP-R 配件)印尼绿色 dn25 </t>
  </si>
  <si>
    <t>PVC管卡(配200mm长尖咀螺丝)PVC-U排水配件白色 dn160</t>
  </si>
  <si>
    <t>LSGT202502120074</t>
  </si>
  <si>
    <t>PVC管卡(配150mm长尖咀螺丝)PVC-U排水配件白色 dn110</t>
  </si>
  <si>
    <t>PVC管卡(配150mm长尖咀螺丝)PVC-U排水配件白色 dn75</t>
  </si>
  <si>
    <t>PVC管卡(配150mm长尖咀螺丝)PVC-U排水配件白色 dn50</t>
  </si>
  <si>
    <t>Ⅰ型管卡(配150mm长尖咀螺丝)(PVC-U给水配件)白色 dn63</t>
  </si>
  <si>
    <t>LSGT202503180075</t>
  </si>
  <si>
    <t>Ⅰ型管卡(配150mm长尖咀螺丝)(PVC-U给水配件)白色 dn90</t>
  </si>
  <si>
    <t>PVC-U排水管(B)白色 dn160 4M</t>
  </si>
  <si>
    <t>LSGT202503170072</t>
  </si>
  <si>
    <t>方型雨水斗PVC-U排水配件白色 dn110</t>
  </si>
  <si>
    <t>方型雨水斗PVC-U排水配件白色 dn160</t>
  </si>
  <si>
    <t>45°弯头(带检查口)PVC-U排水配件白色 dn160</t>
  </si>
  <si>
    <t>直通(管箍)(加长型)PVC-U排水配件白色 dn110</t>
  </si>
  <si>
    <t>45°弯头印尼(日标)PVC-U管件(AW给水系列)灰色 5＂</t>
  </si>
  <si>
    <t>LSGT202503180103</t>
  </si>
  <si>
    <t>45°弯头印尼(日标)PVC-U管件(AW给水系列)灰色 8＂</t>
  </si>
  <si>
    <t>45°弯头印尼(日标)PVC-U管件(AW给水系列)灰色 10＂</t>
  </si>
  <si>
    <t>45°弯头印尼(日标)PVC-U管件(AW给水系列)灰色 12＂</t>
  </si>
  <si>
    <t>90°弯头印尼(日标)PVC-U管件(AW给水系列)灰色 5＂</t>
  </si>
  <si>
    <t>90°弯头印尼(日标)PVC-U管件(AW给水系列)灰色 8＂</t>
  </si>
  <si>
    <t>90°弯头印尼(日标)PVC-U管件(AW给水系列)灰色 10＂</t>
  </si>
  <si>
    <t>90°弯头印尼(日标)PVC-U管件(AW给水系列)灰色 12＂</t>
  </si>
  <si>
    <t>90°正三通印尼(日标)PVC-U管件(AW给水系列)灰色 5＂</t>
  </si>
  <si>
    <t>90°正三通印尼(日标)PVC-U管件(AW给水系列)灰色 8＂</t>
  </si>
  <si>
    <t>90°正三通印尼(日标)PVC-U管件(AW给水系列)灰色 10＂</t>
  </si>
  <si>
    <t>异径套印尼(日标)PVC-U管件(AW给水系列)灰色 8＂×6＂</t>
  </si>
  <si>
    <t>异径套印尼(日标)PVC-U管件(AW给水系列)灰色 10＂×8＂</t>
  </si>
  <si>
    <t>异径套印尼(日标)PVC-U管件(AW给水系列)灰色 12＂×10＂</t>
  </si>
  <si>
    <t>直通印尼(日标)PVC-U管件(AW给水系列)灰色 8＂</t>
  </si>
  <si>
    <t>直通印尼(日标)PVC-U管件(AW给水系列)灰色 10＂</t>
  </si>
  <si>
    <t>直通印尼(日标)PVC-U管件(AW给水系列)灰色 12＂</t>
  </si>
  <si>
    <t>90°正三通印尼(日标)PVC-U管件(AW给水系列)灰色 12＂</t>
  </si>
  <si>
    <t>短型异径顺水三通印尼(日标)PVC-U管件(D排水系列)灰色 8＂×6＂</t>
  </si>
  <si>
    <t>短型顺水三通印尼(日标)PVC-U管件(D排水系列)灰色 5＂</t>
  </si>
  <si>
    <t>直通印尼(日标)PVC-U管件(D排水系列)灰色 8＂</t>
  </si>
  <si>
    <t>45°弯头印尼(日标)PVC-U管件(D排水系列)灰色 5＂</t>
  </si>
  <si>
    <t>45°弯头印尼(日标)PVC-U管件(D排水系列)灰色 8＂</t>
  </si>
  <si>
    <t>90°弯头印尼(日标)PVC-U管件(D排水系列)灰色 5＂</t>
  </si>
  <si>
    <t>异径套印尼(日标)PVC-U管件(D排水系列)灰色 10＂×8＂</t>
  </si>
  <si>
    <t>异径套印尼(日标)PVC-U管件(D排水系列)灰色 8＂×6＂</t>
  </si>
  <si>
    <t>45°弯头印尼(日标)PVC-U管件(D排水系列)灰色 10＂</t>
  </si>
  <si>
    <t>45°弯头印尼(日标)PVC-U管件(D排水系列)灰色 12＂</t>
  </si>
  <si>
    <t>90°弯头印尼(日标)PVC-U管件(D排水系列)灰色 8＂</t>
  </si>
  <si>
    <t>90°弯头印尼(日标)PVC-U管件(D排水系列)灰色 10＂</t>
  </si>
  <si>
    <t>90°弯头印尼(日标)PVC-U管件(D排水系列)灰色 12＂</t>
  </si>
  <si>
    <t>短型顺水三通印尼(日标)PVC-U管件(D排水系列)灰色 8＂</t>
  </si>
  <si>
    <t>短型顺水三通印尼(日标)PVC-U管件(D排水系列)灰色 10＂</t>
  </si>
  <si>
    <t>短型异径顺水三通印尼(日标)PVC-U管件(D排水系列)灰色 10＂×8＂</t>
  </si>
  <si>
    <t>短型异径顺水三通印尼(日标)PVC-U管件(D排水系列)灰色 12＂×10＂</t>
  </si>
  <si>
    <t>直通印尼(日标)PVC-U管件(D排水系列)灰色 12＂</t>
  </si>
  <si>
    <t>直通印尼(日标)PVC-U管件(D排水系列)灰色 10＂</t>
  </si>
  <si>
    <t>异径套印尼(日标)PVC-U管件(D排水系列)灰色 12＂×10＂</t>
  </si>
  <si>
    <t>短型顺水三通印尼(日标)PVC-U管件(D排水系列)灰色 12＂</t>
  </si>
  <si>
    <t>内螺纹管接头(金属与塑胶)(PP-R 配件)印尼绿色 dn63×2＂</t>
  </si>
  <si>
    <t>LSGT202505080050</t>
  </si>
  <si>
    <t>聚丙烯(PP)静音排水管白色 dn110 2.9M</t>
  </si>
  <si>
    <t>LSGT202505080062</t>
  </si>
  <si>
    <t>45°弯头(单扩)PP静音排水管配件白色 dn110</t>
  </si>
  <si>
    <t>立管检查口(双扩)PP静音排水管配件白色 dn110</t>
  </si>
  <si>
    <t>45°斜三通PP静音排水管配件白色 dn110</t>
  </si>
  <si>
    <t>暗装八角开关盒(带金属片)PVC电工配白77×77/Φ20/H60</t>
  </si>
  <si>
    <t>LSGT202505260030</t>
  </si>
  <si>
    <t>暗装开关盒(带金属片)PVC电工配白77×77/Φ20Φ25/H50</t>
  </si>
  <si>
    <t>维护单位</t>
  </si>
  <si>
    <t>货币</t>
  </si>
  <si>
    <t>维护给的客户</t>
  </si>
  <si>
    <t>有效期到</t>
  </si>
  <si>
    <t>印尼(日标)PVC-U给水扩直口管(AW系列)白色 22(1/2＂) 4M</t>
  </si>
  <si>
    <t>“联塑 ”牌 PVC 系列</t>
  </si>
  <si>
    <t>PC</t>
  </si>
  <si>
    <t>所有客户</t>
  </si>
  <si>
    <t>印尼(日标)PVC-U给水扩直口管(AW系列)白色 26(3/4＂) 4M</t>
  </si>
  <si>
    <t>印尼(日标)PVC-U给水扩直口管(AW系列)白色 32(1＂) 4M</t>
  </si>
  <si>
    <t>印尼(日标)PVC-U给水扩直口管(AW系列)白色 48(1-1/2＂) 4M</t>
  </si>
  <si>
    <t>印尼(日标)PVC-U给水扩直口管(AW系列)白色 60(2＂) 4M</t>
  </si>
  <si>
    <t>印尼(日标)PVC-U给水扩直口管(AW系列)白色 89(3＂) 4M</t>
  </si>
  <si>
    <t>印尼(日标)PVC-U给水扩直口管(AW系列)白色 114(4＂) 4M</t>
  </si>
  <si>
    <t>印尼(日标)PVC-U给水扩直口管(AW系列)白色 165(6＂) 4M</t>
  </si>
  <si>
    <t>90°正三通印尼(日标)PVC-U管件(AW给水系列)灰色 3/4＂</t>
  </si>
  <si>
    <t>90°弯头印尼(日标)PVC-U管件(AW给水系列)灰色 1＂</t>
  </si>
  <si>
    <t>90°弯头印尼(日标)PVC-U管件(AW给水系列)灰色 1/2＂</t>
  </si>
  <si>
    <t>90°弯头印尼(日标)PVC-U管件(AW给水系列)灰色 3/4＂</t>
  </si>
  <si>
    <t>90°正三通印尼(日标)PVC-U管件(AW给水系列)灰色 1/2＂</t>
  </si>
  <si>
    <t>90°正三通印尼(日标)PVC-U管件(AW给水系列)灰色 1＂</t>
  </si>
  <si>
    <t>直通印尼(日标)PVC-U管件(AW给水系列)灰色 1＂</t>
  </si>
  <si>
    <t>直通印尼(日标)PVC-U管件(AW给水系列)灰色 1/2＂</t>
  </si>
  <si>
    <t>直通印尼(日标)PVC-U管件(AW给水系列)灰色 3/4＂</t>
  </si>
  <si>
    <t>印尼(日标)PVC-U排水扩直口管(D系列)白色 42(1-1/4＂) 4M</t>
  </si>
  <si>
    <t>印尼(日标)PVC-U排水扩直口管(D系列)白色 48(1-1/2＂) 4M</t>
  </si>
  <si>
    <t>印尼(日标)PVC-U排水扩直口管(D系列)白色 60(2＂) 4M</t>
  </si>
  <si>
    <t>印尼(日标)PVC-U排水扩直口管(D系列)白色 76(2-1/2＂) 4M</t>
  </si>
  <si>
    <t>印尼(日标)PVC-U排水扩直口管(D系列)白色 89(3＂) 4M</t>
  </si>
  <si>
    <t>印尼(日标)PVC-U排水扩直口管(D系列)白色 114(4＂) 4M</t>
  </si>
  <si>
    <t>印尼(日标)PVC-U排水扩直口管(D系列)白色 165(6＂) 4M</t>
  </si>
  <si>
    <t>90°弯头印尼(日标)PVC-U管件(D排水系列)灰色 3＂</t>
  </si>
  <si>
    <t>短型顺水三通印尼(日标)PVC-U管件(D排水系列)灰色 4＂</t>
  </si>
  <si>
    <t>45°弯头印尼(日标)PVC-U管件(D排水系列)灰色 2＂</t>
  </si>
  <si>
    <t>90°弯头印尼(日标)PVC-U管件(D排水系列)灰色 1-1/4＂</t>
  </si>
  <si>
    <t>45°弯头印尼(日标)PVC-U管件(D排水系列)灰色 3＂</t>
  </si>
  <si>
    <t>45°弯头印尼(日标)PVC-U管件(D排水系列)灰色 4＂</t>
  </si>
  <si>
    <t>90°弯头印尼(日标)PVC-U管件(D排水系列)灰色 1-1/2＂</t>
  </si>
  <si>
    <t>短型顺水三通印尼(日标)PVC-U管件(D排水系列)灰色 3＂</t>
  </si>
  <si>
    <t>短型顺水三通印尼(日标)PVC-U管件(D排水系列)灰色 2＂</t>
  </si>
  <si>
    <t>90°弯头印尼(日标)PVC-U管件(D排水系列)灰色 4＂</t>
  </si>
  <si>
    <t>90°弯头印尼(日标)PVC-U管件(D排水系列)灰色 2＂</t>
  </si>
  <si>
    <t>PVC电线管(B管)白色 dn20 2.9M</t>
  </si>
  <si>
    <t>PVC电线管(B管)白色 dn25 2.9M</t>
  </si>
  <si>
    <t>PVC电线管(B管)白色 dn32 2.9M</t>
  </si>
  <si>
    <t>PVC电线管(C管)白色 5/8 4M</t>
  </si>
  <si>
    <t>印尼(日标)PVC-U给水扩直口管(AW系列)白色 26(3/4＂) 6M</t>
  </si>
  <si>
    <t>印尼(日标)PVC-U给水扩直口管(AW系列)白色 89(3＂) 6M</t>
  </si>
  <si>
    <t>印尼(日标)PVC-U给水扩直口管(AW系列)白色 114(4＂) 6M</t>
  </si>
  <si>
    <t>印尼(日标)PVC-U给水扩直口管(AW系列)白色 165(6＂) 6M</t>
  </si>
  <si>
    <t>印尼(日标)PVC-U给水扩直口管(AW系列)白色 22(1/2")5.8M</t>
  </si>
  <si>
    <t> LSGT202405110010</t>
  </si>
  <si>
    <t>印尼(日标)PVC-U给水扩直口管(AW系列)白色 26(3/4")5.8M</t>
  </si>
  <si>
    <t>印尼(日标)PVC-U给水扩直口管(AW系列)白色 32(1")5.8M</t>
  </si>
  <si>
    <t>印尼(日标)PVC-U给水扩直口管(AW系列)白色42(1-1/4")5.8M</t>
  </si>
  <si>
    <t>印尼(日标)PVC-U给水扩直口管(AW系列)白色48(1-1/2")5.8M</t>
  </si>
  <si>
    <t>印尼(日标)PVC-U给水扩直口管(AW系列)白色 60(2")5.8M</t>
  </si>
  <si>
    <t>印尼(日标)PVC-U给水扩直口管(AW系列)白色76(2-1/2")5.8M</t>
  </si>
  <si>
    <t>印尼(日标)PVC-U给水扩直口管(AW系列)白色 89(3")5.8M</t>
  </si>
  <si>
    <t>印尼(日标)PVC-U给水扩直口管(AW系列)白色 114(4")5.8M</t>
  </si>
  <si>
    <t>印尼(日标)PVC-U给水扩直口管(AW系列)白色 165(6")5.8M</t>
  </si>
  <si>
    <t>印尼(日标)PVC-U排水扩直口管(D系列)白色 42(1-1/4＂) 5.8M</t>
  </si>
  <si>
    <t>LSGT202406130070</t>
  </si>
  <si>
    <t>印尼(日标)PVC-U排水扩直口管(D系列)白色 48(1-1/2＂) 5.8M</t>
  </si>
  <si>
    <t>印尼(日标)PVC-U排水扩直口管(D系列)白色 60(2＂) 5.8M</t>
  </si>
  <si>
    <t>印尼(日标)PVC-U排水扩直口管(D系列)白色 76(2-1/2＂) 5.8M</t>
  </si>
  <si>
    <t>印尼(日标)PVC-U排水扩直口管(D系列)白色 89(3＂) 5.8M</t>
  </si>
  <si>
    <t>印尼(日标)PVC-U排水扩直口管(D系列)白色 114(4＂) 5.8M</t>
  </si>
  <si>
    <t>印尼(日标)PVC-U排水扩直口管(D系列)白色 165(6＂) 5.8M</t>
  </si>
  <si>
    <t>PVC电线管(B管)白色 dn20 4M</t>
  </si>
  <si>
    <t>LSGT202406270066</t>
  </si>
  <si>
    <t>印尼(日标)PVC-U给水直管(AW系列)白色 60(2＂) 6M</t>
  </si>
  <si>
    <t>LSGT202411010136</t>
  </si>
  <si>
    <t>不锈钢编织软管 WP03104</t>
  </si>
  <si>
    <t>“联塑 ”牌水暖系列</t>
  </si>
  <si>
    <t>不锈钢编织软管 WP03105</t>
  </si>
  <si>
    <t>不锈钢编织软管 WP03106</t>
  </si>
  <si>
    <t>不锈钢编织软管 WP03108</t>
  </si>
  <si>
    <t>不锈钢编织软管 WP03202</t>
  </si>
  <si>
    <t>不锈钢编织软管 WP03204</t>
  </si>
  <si>
    <t>不锈钢编织软管 WP03206</t>
  </si>
  <si>
    <t>不锈钢编织软管 WP03210</t>
  </si>
  <si>
    <t>不锈钢编织软管 WP03215</t>
  </si>
  <si>
    <t>多功能花洒 WP06502</t>
  </si>
  <si>
    <t>塑胶(PVC-U)角阀 WP01201</t>
  </si>
  <si>
    <t>塑胶(PVC-U)角阀 WP01202</t>
  </si>
  <si>
    <t>塑胶(PVC-U)多用快接水龙头 W83105</t>
  </si>
  <si>
    <t>塑胶(PVC-U)加长滤网水龙头 W13102</t>
  </si>
  <si>
    <t>塑胶(PVC-U)加长洗衣机水龙头 W83101</t>
  </si>
  <si>
    <t>塑胶(PVC-U)滤网水龙头 W13103</t>
  </si>
  <si>
    <t>塑胶(PVC-U)滤网水龙头 W13104</t>
  </si>
  <si>
    <t>塑胶(PVC-U)水龙头 W13101</t>
  </si>
  <si>
    <t>塑胶(PVC-U)洗衣机水龙头 W83102</t>
  </si>
  <si>
    <t>塑胶(PVC-U)洗衣机水龙头 W83104</t>
  </si>
  <si>
    <t>塑胶(PVC-U)直通阀 WP01203</t>
  </si>
  <si>
    <t>塑胶厨房单冷龙头 W23101</t>
  </si>
  <si>
    <t>塑胶厨房单冷龙头 W23103</t>
  </si>
  <si>
    <t>塑胶面盆单冷龙头 W33102</t>
  </si>
  <si>
    <t>塑胶厨房单冷龙头 W23105</t>
  </si>
  <si>
    <t>塑胶厨房单冷龙头 W23107</t>
  </si>
  <si>
    <t>塑胶(PVC-U)快接洗衣机龙头 W83106</t>
  </si>
  <si>
    <t>塑胶(PVC-U)加长滤网水龙头 W13102B</t>
  </si>
  <si>
    <t>塑胶(PVC-U)多用快接水龙头 W83105B</t>
  </si>
  <si>
    <t>塑胶厨房单冷龙头 W23107B</t>
  </si>
  <si>
    <t>LSGT202406060146</t>
  </si>
  <si>
    <t>PVC电线管（C管）白色5/8 2.9M</t>
  </si>
  <si>
    <t>LSGT202502130031</t>
  </si>
  <si>
    <t>SNOW UPVC给水扩直口管白色 22(1/2＂) 4M</t>
  </si>
  <si>
    <t>LSGT202411270020</t>
  </si>
  <si>
    <t>SNOW UPVC给水扩直口管白色 26(3/4＂) 4M</t>
  </si>
  <si>
    <t>SNOW UPVC给水扩直口管白色 32(1＂) 4M</t>
  </si>
  <si>
    <t>SNOW UPVC给水扩直口管白色 42(1-1/4＂) 4M</t>
  </si>
  <si>
    <t>SNOW UPVC给水扩直口管白色 48(1-1/2＂) 4M</t>
  </si>
  <si>
    <t>SNOW UPVC给水扩直口管白色 60(2＂) 4M</t>
  </si>
  <si>
    <t>SNOW UPVC给水扩直口管白色 76(2-1/2＂) 4M</t>
  </si>
  <si>
    <t>SNOW UPVC给水扩直口管白色 89(3＂) 4M</t>
  </si>
  <si>
    <t>SNOW UPVC给水扩直口管白色 114(4＂) 4M</t>
  </si>
  <si>
    <t>SNOW UPVC给水扩直口管白色 140(5＂) 4M</t>
  </si>
  <si>
    <t>SNOW UPVC给水扩直口管白色 165(6＂) 4M</t>
  </si>
  <si>
    <t>SNOW UPVC给水扩直口管白色 216(8＂) 4M</t>
  </si>
  <si>
    <t>SNOW UPVC给水扩直口管白色 267(10＂) 4M</t>
  </si>
  <si>
    <t>SNOW UPVC给水扩直口管白色 318(12＂) 4M</t>
  </si>
  <si>
    <t>SNOW UPVC排水扩直口管白色 42(1-1/4＂) 4M</t>
  </si>
  <si>
    <t>SNOW UPVC排水扩直口管白色 48(1-1/2＂) 4M</t>
  </si>
  <si>
    <t>SNOW UPVC排水扩直口管白色 60(2＂) 4M</t>
  </si>
  <si>
    <t>SNOW UPVC排水扩直口管白色 76(2-1/2＂) 4M</t>
  </si>
  <si>
    <t>SNOW UPVC排水扩直口管白色 89(3＂) 4M</t>
  </si>
  <si>
    <t>SNOW UPVC排水扩直口管白色 114(4＂) 4M</t>
  </si>
  <si>
    <t>SNOW UPVC排水扩直口管白色 140(5＂) 4M</t>
  </si>
  <si>
    <t>SNOW UPVC排水扩直口管白色 165(6＂) 4M</t>
  </si>
  <si>
    <t>SNOW UPVC排水扩直口管白色 216(8＂) 4M</t>
  </si>
  <si>
    <t>SNOW UPVC排水扩直口管白色 267(10＂) 4M</t>
  </si>
  <si>
    <t>SNOW UPVC排水扩直口管白色 318(12＂) 4M</t>
  </si>
  <si>
    <t>对接法兰套(PE配件)SDR17(1.0MPa)黑色 dn140</t>
  </si>
  <si>
    <t xml:space="preserve">塑胶(PVC-U)三通角阀 WP01205 </t>
  </si>
  <si>
    <t>LSGT202409190093</t>
  </si>
  <si>
    <t>PVC中空瓦正脊930*500*2白色/B扬帆</t>
  </si>
  <si>
    <t>LSGT202502260095</t>
  </si>
  <si>
    <t>树脂瓦正脊瓦1050*450*2.3高光砖红/白/扬帆</t>
  </si>
  <si>
    <t>树脂瓦斜脊1050*280*2.3高光砖红/白/扬帆</t>
  </si>
  <si>
    <t>滴水1050*120*2.3高光砖红/白/扬帆</t>
  </si>
  <si>
    <t>圆封头220*295*2.5高光砖红/白/扬帆</t>
  </si>
  <si>
    <t>三通300*300*2.3高光砖红/白/扬帆</t>
  </si>
  <si>
    <t>ASA防水配件(树脂瓦)-1050高光砖红</t>
  </si>
  <si>
    <t>ASA防水配件(通用)白色</t>
  </si>
  <si>
    <t>PVC中空瓦930*6000*10白色/扬光</t>
  </si>
  <si>
    <t>M2</t>
  </si>
  <si>
    <t>PVC中空瓦930*5000*10白色/扬光</t>
  </si>
  <si>
    <t>PVC中空瓦930*4000*10白色/扬光</t>
  </si>
  <si>
    <t>ASA合成树脂瓦1050*5694*2.3高光砖红/白/扬帆</t>
  </si>
  <si>
    <t>销售机构</t>
  </si>
  <si>
    <t>调价类别</t>
  </si>
  <si>
    <t>下浮-不包含5%</t>
  </si>
  <si>
    <t>H010</t>
  </si>
  <si>
    <t>YJ001</t>
  </si>
  <si>
    <t>YJ002</t>
  </si>
  <si>
    <t>PE给水管材</t>
  </si>
  <si>
    <t>YJ003</t>
  </si>
  <si>
    <t>YJ004</t>
  </si>
  <si>
    <t xml:space="preserve">PE铜配件 </t>
  </si>
  <si>
    <t>YJ005</t>
  </si>
  <si>
    <t>YJ006</t>
  </si>
  <si>
    <t>YJ007</t>
  </si>
  <si>
    <t>YJ008</t>
  </si>
  <si>
    <t>YJ009</t>
  </si>
  <si>
    <t xml:space="preserve">PVC电线管 </t>
  </si>
  <si>
    <t>YJ010</t>
  </si>
  <si>
    <t xml:space="preserve">PVC电线管配件 </t>
  </si>
  <si>
    <t>YJ011</t>
  </si>
  <si>
    <t xml:space="preserve">国标PVC排水管 </t>
  </si>
  <si>
    <t>YJ012</t>
  </si>
  <si>
    <t>YJ013</t>
  </si>
  <si>
    <t>YJ014</t>
  </si>
  <si>
    <t>YJ015</t>
  </si>
  <si>
    <t>YJ016</t>
  </si>
  <si>
    <t>YJ017</t>
  </si>
  <si>
    <t>YJ018</t>
  </si>
  <si>
    <t>YJ019</t>
  </si>
  <si>
    <t>（不含税）</t>
  </si>
  <si>
    <t>SNOW品牌给排水管</t>
  </si>
  <si>
    <t>PVC瓦产品</t>
  </si>
  <si>
    <r>
      <rPr>
        <sz val="10"/>
        <rFont val="微软雅黑"/>
        <family val="2"/>
        <charset val="134"/>
      </rPr>
      <t>波纹管</t>
    </r>
    <r>
      <rPr>
        <sz val="10"/>
        <rFont val="Arial"/>
        <family val="2"/>
      </rPr>
      <t>PVC</t>
    </r>
    <r>
      <rPr>
        <sz val="10"/>
        <rFont val="微软雅黑"/>
        <family val="2"/>
        <charset val="134"/>
      </rPr>
      <t>电工套管米黄色</t>
    </r>
    <r>
      <rPr>
        <sz val="10"/>
        <rFont val="Arial"/>
        <family val="2"/>
      </rPr>
      <t xml:space="preserve"> dn20 100M, Length: 100.0, ConversionRate: 100.0</t>
    </r>
    <phoneticPr fontId="9" type="noConversion"/>
  </si>
  <si>
    <r>
      <t>PVC</t>
    </r>
    <r>
      <rPr>
        <sz val="10"/>
        <rFont val="微软雅黑"/>
        <family val="2"/>
        <charset val="134"/>
      </rPr>
      <t>电线管</t>
    </r>
    <phoneticPr fontId="9" type="noConversion"/>
  </si>
  <si>
    <t>CCO 50mm - LESSO</t>
    <phoneticPr fontId="9" type="noConversion"/>
  </si>
  <si>
    <t>Reducing Elbow 50x32 - LESSO</t>
  </si>
  <si>
    <t>Tee dn 75 PVC - LESSO</t>
    <phoneticPr fontId="9" type="noConversion"/>
  </si>
  <si>
    <r>
      <t>90°</t>
    </r>
    <r>
      <rPr>
        <sz val="10"/>
        <rFont val="微软雅黑"/>
        <family val="2"/>
        <charset val="134"/>
      </rPr>
      <t>弯头印尼</t>
    </r>
    <r>
      <rPr>
        <sz val="10"/>
        <rFont val="Arial"/>
        <family val="2"/>
      </rPr>
      <t>(</t>
    </r>
    <r>
      <rPr>
        <sz val="10"/>
        <rFont val="微软雅黑"/>
        <family val="2"/>
        <charset val="134"/>
      </rPr>
      <t>日标</t>
    </r>
    <r>
      <rPr>
        <sz val="10"/>
        <rFont val="Arial"/>
        <family val="2"/>
      </rPr>
      <t>)PVC-U</t>
    </r>
    <r>
      <rPr>
        <sz val="10"/>
        <rFont val="微软雅黑"/>
        <family val="2"/>
        <charset val="134"/>
      </rPr>
      <t>管件</t>
    </r>
    <r>
      <rPr>
        <sz val="10"/>
        <rFont val="Arial"/>
        <family val="2"/>
      </rPr>
      <t>(AW</t>
    </r>
    <r>
      <rPr>
        <sz val="10"/>
        <rFont val="微软雅黑"/>
        <family val="2"/>
        <charset val="134"/>
      </rPr>
      <t>给水系列</t>
    </r>
    <r>
      <rPr>
        <sz val="10"/>
        <rFont val="Arial"/>
        <family val="2"/>
      </rPr>
      <t>)</t>
    </r>
    <r>
      <rPr>
        <sz val="10"/>
        <rFont val="微软雅黑"/>
        <family val="2"/>
        <charset val="134"/>
      </rPr>
      <t>白色</t>
    </r>
    <r>
      <rPr>
        <sz val="10"/>
        <rFont val="Arial"/>
        <family val="2"/>
      </rPr>
      <t xml:space="preserve"> 6</t>
    </r>
    <r>
      <rPr>
        <sz val="10"/>
        <rFont val="微软雅黑"/>
        <family val="2"/>
        <charset val="134"/>
      </rPr>
      <t>＂</t>
    </r>
    <r>
      <rPr>
        <sz val="10"/>
        <rFont val="Arial"/>
        <family val="2"/>
      </rPr>
      <t>, Length: 0.56, ConversionRate: 3.0</t>
    </r>
    <phoneticPr fontId="9" type="noConversion"/>
  </si>
  <si>
    <r>
      <t>45°</t>
    </r>
    <r>
      <rPr>
        <sz val="10"/>
        <rFont val="微软雅黑"/>
        <family val="2"/>
        <charset val="134"/>
      </rPr>
      <t>焊接异径斜三通</t>
    </r>
    <r>
      <rPr>
        <sz val="10"/>
        <rFont val="Arial"/>
        <family val="2"/>
      </rPr>
      <t>PVC-U</t>
    </r>
    <r>
      <rPr>
        <sz val="10"/>
        <rFont val="微软雅黑"/>
        <family val="2"/>
        <charset val="134"/>
      </rPr>
      <t>排水配件白色</t>
    </r>
    <r>
      <rPr>
        <sz val="10"/>
        <rFont val="Arial"/>
        <family val="2"/>
      </rPr>
      <t xml:space="preserve"> dn250×110, Length: 0.0, ConversionRate: 1.0</t>
    </r>
    <phoneticPr fontId="9" type="noConversion"/>
  </si>
  <si>
    <t>流程编码</t>
    <phoneticPr fontId="9" type="noConversion"/>
  </si>
  <si>
    <t>SAN001</t>
  </si>
  <si>
    <t>SAN002</t>
  </si>
  <si>
    <t>SAN003</t>
  </si>
  <si>
    <t>SAN004</t>
  </si>
  <si>
    <t>SAN005</t>
  </si>
  <si>
    <t>SAN006</t>
  </si>
  <si>
    <t>SAN007</t>
  </si>
  <si>
    <t>SAN008</t>
  </si>
  <si>
    <t>SAN009</t>
  </si>
  <si>
    <t xml:space="preserve">球阀 22(½) </t>
  </si>
  <si>
    <t xml:space="preserve">球阀26(¾) </t>
  </si>
  <si>
    <t>球阀32(1)</t>
  </si>
  <si>
    <t>球阀 42(1¼)</t>
  </si>
  <si>
    <t>球阀1½</t>
  </si>
  <si>
    <t>球阀 60(2")</t>
  </si>
  <si>
    <t>球阀76(2½")</t>
  </si>
  <si>
    <t>球阀89(3")</t>
  </si>
  <si>
    <t xml:space="preserve">球阀 114(4") </t>
  </si>
  <si>
    <t>内螺纹弯头</t>
    <phoneticPr fontId="9" type="noConversion"/>
  </si>
  <si>
    <t>40x1-1/4"</t>
    <phoneticPr fontId="9" type="noConversion"/>
  </si>
  <si>
    <r>
      <t>接线盒（穿过钢筋型，带</t>
    </r>
    <r>
      <rPr>
        <sz val="11"/>
        <rFont val="Arial"/>
        <family val="2"/>
      </rPr>
      <t>8</t>
    </r>
    <r>
      <rPr>
        <sz val="11"/>
        <rFont val="宋体"/>
        <family val="3"/>
        <charset val="134"/>
      </rPr>
      <t>个活动脚，隐蔽安装）</t>
    </r>
    <phoneticPr fontId="9" type="noConversion"/>
  </si>
  <si>
    <t>77x77/25</t>
    <phoneticPr fontId="9" type="noConversion"/>
  </si>
  <si>
    <t>采购价</t>
  </si>
  <si>
    <t>实时更新表中</t>
    <phoneticPr fontId="9" type="noConversion"/>
  </si>
  <si>
    <r>
      <t>LESSO</t>
    </r>
    <r>
      <rPr>
        <b/>
        <sz val="10"/>
        <rFont val="宋体"/>
        <family val="3"/>
        <charset val="134"/>
      </rPr>
      <t>表中</t>
    </r>
    <phoneticPr fontId="9" type="noConversion"/>
  </si>
  <si>
    <t>异径三通 4" x 2" (AW) - Rucika</t>
  </si>
  <si>
    <t>VPR-PP04C33001</t>
  </si>
  <si>
    <t>VPR-MB19C03001</t>
  </si>
  <si>
    <t>GPR-PP04C03009</t>
  </si>
  <si>
    <t>球阀 PVC 4" - RUCIKA</t>
  </si>
  <si>
    <t>帽子 (AW) 6" - RUCIKA</t>
  </si>
  <si>
    <t>帽子 (AW) 8" - RUCIKA</t>
  </si>
  <si>
    <t>CAP DOP PVC D 2 1/2" - RUCIKA</t>
  </si>
  <si>
    <t>清理 AW 4" - RUCIKA</t>
  </si>
  <si>
    <t>清理 AW 8" - RUCIKA</t>
  </si>
  <si>
    <t>清理 AW 2" - RUCIKA</t>
  </si>
  <si>
    <t>清理 AW 3" - RUCIKA</t>
  </si>
  <si>
    <t>清理 AW 6" - RUCIKA</t>
  </si>
  <si>
    <t>联轴器 (AW) 1 1/4 - RUCIKA</t>
  </si>
  <si>
    <t>联轴器 (AW) 1" - RUCIKA</t>
  </si>
  <si>
    <t>联轴器 (AW) 2 1/2 - RUCIKA</t>
  </si>
  <si>
    <t>联轴器 (AW) 2" - RUCIKA</t>
  </si>
  <si>
    <t>联轴器 / (D) 8" - Rucika</t>
  </si>
  <si>
    <t>肘部 45' (AW) 8" - 鲁西卡</t>
  </si>
  <si>
    <t>肘部 45' (D) 5" - 鲁西卡</t>
  </si>
  <si>
    <t>肘部 45' (D) 6" - 鲁西卡</t>
  </si>
  <si>
    <t>弯头 45 2½" Rucika 标准 D 级</t>
  </si>
  <si>
    <t>弯头 45 D 8 - Rucika</t>
  </si>
  <si>
    <t>45° 弯头 2 1/2" (AW) - Rucika</t>
  </si>
  <si>
    <t>弯头 45° 2" (AW) - Rucika</t>
  </si>
  <si>
    <t>弯头 45° 3" (AW) - Rucika</t>
  </si>
  <si>
    <t>弯头 90 D 8" - Rucika</t>
  </si>
  <si>
    <t>弯头 90 PPR dn110 - RUCIKA</t>
  </si>
  <si>
    <t>90° 弯头 1 1/4" (AW) - Rucika</t>
  </si>
  <si>
    <t>90° 弯头 (D) 12" - Rucika</t>
  </si>
  <si>
    <t>90° 弯头 1 1/2" (AW) - Rucika</t>
  </si>
  <si>
    <t>弯头 90° 1" (AW) - Rucika</t>
  </si>
  <si>
    <t>90° 弯头 2 1/2" (AW) - Rucika</t>
  </si>
  <si>
    <t>弯头 90° 2" (AW) - Rucika</t>
  </si>
  <si>
    <t>弯头 90° 3" (AW) - Rucika</t>
  </si>
  <si>
    <t>弯头 90° 5" (D) - Rucika</t>
  </si>
  <si>
    <t>弯头 90° 6" (AW) - Rucika</t>
  </si>
  <si>
    <t>弯头 90° 8" (AW) - Rucika</t>
  </si>
  <si>
    <t>法兰 (AW) 4" - RUCIKA</t>
  </si>
  <si>
    <t>法兰 AW 2.1/2 - RUCIKA</t>
  </si>
  <si>
    <t>增高器 (D) 5x4 - Rucika</t>
  </si>
  <si>
    <t>增高器 D 2 x 1.1/4 - RUCIKA</t>
  </si>
  <si>
    <t>增高器 D 8" x 6" - Rucika</t>
  </si>
  <si>
    <t>大半径 T 恤 (AW) 8" - Rucika</t>
  </si>
  <si>
    <t>大半径 T 恤 / (AW) 8'' x 6" - Rucika</t>
  </si>
  <si>
    <t>大半径 T 恤 AW 2 - RUCIKA</t>
  </si>
  <si>
    <t>大半径 T 恤 AW 6" - RUCIKA</t>
  </si>
  <si>
    <t>大半径三通 D 4 - RUCIKA</t>
  </si>
  <si>
    <t>大半径 T 恤 D 6 x 4 - Rucika</t>
  </si>
  <si>
    <t>大半径 T 恤 D 8" x 6" - Rucika</t>
  </si>
  <si>
    <t>大半径三通 Y / (AW) 3'' x 2 1/2" - Rucika</t>
  </si>
  <si>
    <t>大半径三通 Y / (AW) 1 1/2" - Rucika</t>
  </si>
  <si>
    <t>大半径三通 Y / (AW) 1 1/2" x 1 1/4" - Rucika</t>
  </si>
  <si>
    <t>大半径三通 Y / (AW) 2 1/2'' x 2" - Rucika</t>
  </si>
  <si>
    <t>大半径三通 Y / (AW) 2 1/2" - Rucika</t>
  </si>
  <si>
    <t>大半径三通 Y / (AW) 2'' x 1 1/2" - Rucika</t>
  </si>
  <si>
    <t>大半径三通 Y / (AW) 2" - RUCIKA</t>
  </si>
  <si>
    <t>大半径三通 Y / (AW) 3'' x 2" - Rucika</t>
  </si>
  <si>
    <t>大半径三通 Y / (AW) 3" - Rucika</t>
  </si>
  <si>
    <t>大半径 T 恤 Y / (AW) 4 x 2 - Rucika</t>
  </si>
  <si>
    <t>大半径三通 Y / (AW) 4" x 3" - Rucika</t>
  </si>
  <si>
    <t>大半径三通 Y / (AW) 6" - Rucika</t>
  </si>
  <si>
    <t>大半径三通 Y / (AW) 6" x 4" - Rucika</t>
  </si>
  <si>
    <t>大半径三通 Y / (AW) 8'' x 4" - Rucika</t>
  </si>
  <si>
    <t>Lem 琵琶 400gr - RUCIKA</t>
  </si>
  <si>
    <t>Lem Pipa PVC 再胶 100gr - RUCIKA</t>
  </si>
  <si>
    <t>P 陷阱 D 2" - RUCIKA</t>
  </si>
  <si>
    <t>P 陷阱 D 3" (dn75) - RUCIKA</t>
  </si>
  <si>
    <t>琵琶阿布吉斯 AW 2 - Rucika</t>
  </si>
  <si>
    <t>PPR 90 弯头 dn63 - RUCIKA</t>
  </si>
  <si>
    <t>PPR 90° 弯头 / dn32 - RUCIKA</t>
  </si>
  <si>
    <t>PPR 90° 弯头 / dn75 - Rucika</t>
  </si>
  <si>
    <t>PPR 90°弯头 / dn90 - RUCIKA</t>
  </si>
  <si>
    <t>PPR 联轴器 dn75 - Rucika</t>
  </si>
  <si>
    <t>PPR 联轴器 dn90 - Rucika</t>
  </si>
  <si>
    <t>PPR弯头露西卡/DN50</t>
  </si>
  <si>
    <t>PPR 等径三通 dn110 - Rucika</t>
  </si>
  <si>
    <t>PPR异径三通160x110x160 - Rucika</t>
  </si>
  <si>
    <t>PPR截止阀 / dn75</t>
  </si>
  <si>
    <t>PVC 连接器 Rucika / KDD KUNINGAN 1/2"PVC 连接器 Rucika / KDD KUNINGAN 1/2"</t>
  </si>
  <si>
    <t>异径管 (AW) 2 1/2''x 2" - Rucika</t>
  </si>
  <si>
    <t>变径管 (AW) 3'' x 2 1/2" - Rucika</t>
  </si>
  <si>
    <t>减速器 (AW) 4 x 2 1/2 - RUCIKA</t>
  </si>
  <si>
    <t>异径管 (AW) 8'' x 6" - Rucika</t>
  </si>
  <si>
    <t>减速器 (AW) 8"x4" - RUCIKA</t>
  </si>
  <si>
    <t>减速器 3 x 1 1/2 (AW) - Rucika</t>
  </si>
  <si>
    <t>异径三通 4" x 1 1/2" (AW) - Rucika</t>
  </si>
  <si>
    <t>异径三通 / (AW) 3" x 1" - LESSO</t>
  </si>
  <si>
    <t>Sock Drat Luar PPR - 75 x 2 1/2" - RUCIKA</t>
  </si>
  <si>
    <t>T 恤 (AW) 2'' x 1 1/4'' - Rucika</t>
  </si>
  <si>
    <t>三通 (D - DT) 8X4" - RUCIKA</t>
  </si>
  <si>
    <t>T 恤 / ( D - DT ) 4" - RUCIKA</t>
  </si>
  <si>
    <t>T 恤 D 8" - Rucika</t>
  </si>
  <si>
    <t>Y 分支 (AW) 3"x2" - RUCIKA</t>
  </si>
  <si>
    <t>Y 分支 (AW) 4" - RUCIKA</t>
  </si>
  <si>
    <t>Y 分支 (AW) 5x4 - RUCIKA</t>
  </si>
  <si>
    <t>Y 分支 (AW) 8"x4" - RUCIKA</t>
  </si>
  <si>
    <t>Y 分支 (D) 2/ 1/2" - RUCIKA</t>
  </si>
  <si>
    <t>Y 支线 4 (AW) - 露西卡</t>
  </si>
  <si>
    <t>Y 分店 秋冬 2 - RUCIKA</t>
  </si>
  <si>
    <t>Y 分店 秋冬 3 - RUCIKA</t>
  </si>
  <si>
    <t>Y 分支 AW 4"X2" - RUCIKA</t>
  </si>
  <si>
    <t>Y 支线 AW 6"X3" - RUCIKA</t>
  </si>
  <si>
    <t>Y 分支 AW 8" - Rucika</t>
  </si>
  <si>
    <t>Y 分支 D 4" - Rucika</t>
  </si>
  <si>
    <t>清理秋冬 5 - 厘米</t>
  </si>
  <si>
    <t>清理 AW 8" - CM</t>
  </si>
  <si>
    <t>大半径三通 Y / (AW) 2'' - CM</t>
  </si>
  <si>
    <t>大半径三通 Y/(AW) 8'' x 4" - CM</t>
  </si>
  <si>
    <t>P 陷阱 D 4" (dn110) - CM</t>
  </si>
  <si>
    <t>DS70234</t>
  </si>
  <si>
    <t>DS70235</t>
  </si>
  <si>
    <t>DS70236</t>
  </si>
  <si>
    <t>DS70237</t>
  </si>
  <si>
    <t>DS70238</t>
  </si>
  <si>
    <t>DS70232</t>
  </si>
  <si>
    <t>DS70233</t>
  </si>
  <si>
    <t>dn40 法兰（钢托盘）- DS</t>
  </si>
  <si>
    <t>dn50 法兰（钢托盘）- DS</t>
  </si>
  <si>
    <t>dn63 法兰（钢托盘）- DS</t>
  </si>
  <si>
    <t>dn75 法兰（钢托盘）- DS</t>
  </si>
  <si>
    <t>dn90 法兰（钢托盘）- DS</t>
  </si>
  <si>
    <t>dn110 法兰（钢托盘）- DS</t>
  </si>
  <si>
    <t>dn160 法兰（钢托盘）- DS</t>
  </si>
  <si>
    <t>PVC球阀 32(1) 球阀 - 三福</t>
  </si>
  <si>
    <t>PVC球阀 22 (1/2) 球阀 - 三福</t>
  </si>
  <si>
    <t>PVC球阀26(3/4)球阀 - 三福</t>
  </si>
  <si>
    <t>PVC球阀 42(1 1/4) 球阀 - 三福</t>
  </si>
  <si>
    <t>PVC球阀 48(1 1/2) 球阀 - 三福</t>
  </si>
  <si>
    <t>PVC球阀 60(2") 球阀 - 三福</t>
  </si>
  <si>
    <t>PVC球阀 76(2 1/2") 球阀 - 三福</t>
  </si>
  <si>
    <t>PVC球阀 89(3") 球阀 - 三福</t>
  </si>
  <si>
    <t>PVC球阀 114(4") 球阀 - 三福</t>
  </si>
  <si>
    <t>莱姆 PVC / 400g - ISARPLAS</t>
  </si>
  <si>
    <t>出厂价_含税</t>
  </si>
  <si>
    <t>出厂价_不含税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</si>
</sst>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_ "/>
    <numFmt numFmtId="165" formatCode="#,##0_);[Red]\(#,##0\)"/>
    <numFmt numFmtId="166" formatCode="#,##0.00_);[Red]\(#,##0.00\)"/>
    <numFmt numFmtId="167" formatCode="#,##0_ "/>
    <numFmt numFmtId="168" formatCode="#,##0.00000_ "/>
    <numFmt numFmtId="169" formatCode="0_ "/>
  </numFmts>
  <fonts count="17">
    <font>
      <sz val="10"/>
      <name val="Arial"/>
      <charset val="134"/>
    </font>
    <font>
      <b/>
      <sz val="11"/>
      <color theme="1"/>
      <name val="Calibri"/>
      <family val="3"/>
      <charset val="134"/>
      <scheme val="minor"/>
    </font>
    <font>
      <sz val="11"/>
      <color rgb="FFFF0000"/>
      <name val="Calibri"/>
      <family val="3"/>
      <charset val="134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1"/>
      <color theme="1"/>
      <name val="Calibri"/>
      <family val="3"/>
      <charset val="134"/>
      <scheme val="minor"/>
    </font>
    <font>
      <sz val="10"/>
      <name val="MS Gothic"/>
      <family val="3"/>
      <charset val="128"/>
    </font>
    <font>
      <sz val="10"/>
      <name val="Microsoft JhengHei"/>
      <family val="2"/>
      <charset val="136"/>
    </font>
    <font>
      <sz val="10"/>
      <name val="Arial"/>
      <family val="2"/>
    </font>
    <font>
      <sz val="9"/>
      <name val="Arial"/>
      <family val="2"/>
    </font>
    <font>
      <sz val="10"/>
      <name val="微软雅黑"/>
      <family val="2"/>
      <charset val="134"/>
    </font>
    <font>
      <sz val="9"/>
      <color rgb="FF000000"/>
      <name val="Arial"/>
      <family val="2"/>
    </font>
    <font>
      <sz val="11"/>
      <name val="宋体"/>
      <family val="3"/>
      <charset val="134"/>
    </font>
    <font>
      <sz val="11"/>
      <name val="Arial"/>
      <family val="2"/>
    </font>
    <font>
      <b/>
      <sz val="10"/>
      <name val="宋体"/>
      <family val="3"/>
      <charset val="134"/>
    </font>
    <font>
      <b/>
      <sz val="1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8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8" fillId="0" borderId="0"/>
    <xf numFmtId="0" fontId="5" fillId="0" borderId="0">
      <alignment vertical="center"/>
    </xf>
  </cellStyleXfs>
  <cellXfs count="60">
    <xf numFmtId="0" fontId="0" fillId="0" borderId="0" xfId="0" applyAlignment="1">
      <alignment vertical="top"/>
    </xf>
    <xf numFmtId="0" fontId="1" fillId="0" borderId="0" xfId="0" applyFont="1"/>
    <xf numFmtId="9" fontId="1" fillId="0" borderId="0" xfId="1" applyFont="1" applyAlignment="1"/>
    <xf numFmtId="0" fontId="0" fillId="0" borderId="0" xfId="0"/>
    <xf numFmtId="0" fontId="0" fillId="2" borderId="0" xfId="0" applyFill="1"/>
    <xf numFmtId="9" fontId="0" fillId="0" borderId="0" xfId="1" applyFont="1" applyAlignment="1"/>
    <xf numFmtId="0" fontId="0" fillId="0" borderId="0" xfId="1" applyNumberFormat="1" applyFont="1" applyAlignment="1"/>
    <xf numFmtId="9" fontId="0" fillId="0" borderId="0" xfId="1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8" fillId="0" borderId="1" xfId="3" applyBorder="1" applyAlignment="1">
      <alignment horizontal="center" vertical="center"/>
    </xf>
    <xf numFmtId="0" fontId="3" fillId="3" borderId="1" xfId="3" applyFont="1" applyFill="1" applyBorder="1" applyAlignment="1">
      <alignment horizontal="center" vertical="center"/>
    </xf>
    <xf numFmtId="165" fontId="8" fillId="0" borderId="1" xfId="3" applyNumberFormat="1" applyBorder="1" applyAlignment="1">
      <alignment horizontal="center" vertical="center"/>
    </xf>
    <xf numFmtId="0" fontId="3" fillId="0" borderId="1" xfId="3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7" fontId="0" fillId="0" borderId="0" xfId="0" applyNumberFormat="1" applyAlignment="1">
      <alignment vertical="top"/>
    </xf>
    <xf numFmtId="167" fontId="0" fillId="0" borderId="0" xfId="0" applyNumberFormat="1" applyAlignment="1">
      <alignment horizontal="center" vertical="top"/>
    </xf>
    <xf numFmtId="167" fontId="3" fillId="3" borderId="1" xfId="0" applyNumberFormat="1" applyFont="1" applyFill="1" applyBorder="1" applyAlignment="1">
      <alignment horizontal="center" vertical="top"/>
    </xf>
    <xf numFmtId="167" fontId="3" fillId="0" borderId="1" xfId="0" applyNumberFormat="1" applyFont="1" applyBorder="1" applyAlignment="1">
      <alignment horizontal="center" vertical="top"/>
    </xf>
    <xf numFmtId="165" fontId="0" fillId="0" borderId="0" xfId="0" applyNumberFormat="1" applyAlignment="1">
      <alignment vertical="top"/>
    </xf>
    <xf numFmtId="167" fontId="0" fillId="0" borderId="1" xfId="0" applyNumberFormat="1" applyBorder="1" applyAlignment="1">
      <alignment horizontal="center" vertical="top"/>
    </xf>
    <xf numFmtId="166" fontId="0" fillId="0" borderId="0" xfId="0" applyNumberFormat="1" applyAlignment="1">
      <alignment vertical="top"/>
    </xf>
    <xf numFmtId="168" fontId="0" fillId="0" borderId="0" xfId="0" applyNumberFormat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165" fontId="0" fillId="0" borderId="1" xfId="0" applyNumberFormat="1" applyBorder="1" applyAlignment="1">
      <alignment horizontal="center" vertical="top"/>
    </xf>
    <xf numFmtId="167" fontId="0" fillId="3" borderId="1" xfId="0" applyNumberForma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8" fillId="0" borderId="1" xfId="3" applyBorder="1" applyAlignment="1">
      <alignment horizontal="center" vertical="top"/>
    </xf>
    <xf numFmtId="165" fontId="8" fillId="3" borderId="1" xfId="3" applyNumberFormat="1" applyFill="1" applyBorder="1" applyAlignment="1">
      <alignment horizontal="center" vertical="top"/>
    </xf>
    <xf numFmtId="167" fontId="0" fillId="0" borderId="1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vertical="top"/>
    </xf>
    <xf numFmtId="165" fontId="4" fillId="3" borderId="1" xfId="3" applyNumberFormat="1" applyFont="1" applyFill="1" applyBorder="1" applyAlignment="1">
      <alignment horizontal="center" vertical="center"/>
    </xf>
    <xf numFmtId="165" fontId="8" fillId="3" borderId="1" xfId="3" applyNumberFormat="1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67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9" fontId="1" fillId="2" borderId="1" xfId="0" applyNumberFormat="1" applyFont="1" applyFill="1" applyBorder="1" applyAlignment="1">
      <alignment horizontal="center" vertical="center" wrapText="1"/>
    </xf>
    <xf numFmtId="169" fontId="8" fillId="3" borderId="1" xfId="3" applyNumberFormat="1" applyFill="1" applyBorder="1" applyAlignment="1">
      <alignment horizontal="center" vertical="top"/>
    </xf>
    <xf numFmtId="169" fontId="0" fillId="3" borderId="1" xfId="0" applyNumberFormat="1" applyFill="1" applyBorder="1" applyAlignment="1">
      <alignment horizontal="center" vertical="top"/>
    </xf>
    <xf numFmtId="169" fontId="0" fillId="3" borderId="1" xfId="0" applyNumberFormat="1" applyFill="1" applyBorder="1" applyAlignment="1">
      <alignment horizontal="center" vertical="center"/>
    </xf>
    <xf numFmtId="169" fontId="0" fillId="0" borderId="0" xfId="0" applyNumberFormat="1" applyAlignment="1">
      <alignment horizontal="center" vertical="top"/>
    </xf>
    <xf numFmtId="0" fontId="3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top"/>
    </xf>
    <xf numFmtId="0" fontId="8" fillId="0" borderId="3" xfId="3" applyBorder="1" applyAlignment="1">
      <alignment horizontal="center" vertical="top"/>
    </xf>
    <xf numFmtId="0" fontId="8" fillId="0" borderId="4" xfId="3" applyBorder="1" applyAlignment="1">
      <alignment horizontal="center" vertical="top"/>
    </xf>
    <xf numFmtId="0" fontId="0" fillId="3" borderId="3" xfId="0" applyFill="1" applyBorder="1" applyAlignment="1">
      <alignment horizontal="center" vertical="top"/>
    </xf>
    <xf numFmtId="1" fontId="0" fillId="0" borderId="0" xfId="0" applyNumberFormat="1" applyAlignment="1">
      <alignment horizontal="center" vertical="center"/>
    </xf>
    <xf numFmtId="0" fontId="16" fillId="3" borderId="2" xfId="0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 vertical="top"/>
    </xf>
  </cellXfs>
  <cellStyles count="5">
    <cellStyle name="Normal" xfId="0" builtinId="0"/>
    <cellStyle name="Percent" xfId="1" builtinId="5"/>
    <cellStyle name="百分比 2" xfId="2" xr:uid="{00000000-0005-0000-0000-000031000000}"/>
    <cellStyle name="常规 2" xfId="3" xr:uid="{00000000-0005-0000-0000-000032000000}"/>
    <cellStyle name="常规 3" xfId="4" xr:uid="{00000000-0005-0000-0000-000033000000}"/>
  </cellStyles>
  <dxfs count="1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ustomStorage/customStorage.xml><?xml version="1.0" encoding="utf-8"?>
<customStorage xmlns="https://web.wps.cn/et/2018/main">
  <book/>
  <sheets/>
</customStorage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" name="Host Control  5">
          <a:extLst>
            <a:ext uri="{FF2B5EF4-FFF2-40B4-BE49-F238E27FC236}">
              <a16:creationId xmlns:a16="http://schemas.microsoft.com/office/drawing/2014/main" id="{983630C7-C816-4CAD-8B5D-195464C4676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" name="Host Control  6">
          <a:extLst>
            <a:ext uri="{FF2B5EF4-FFF2-40B4-BE49-F238E27FC236}">
              <a16:creationId xmlns:a16="http://schemas.microsoft.com/office/drawing/2014/main" id="{88D8ED1E-484D-4659-9F69-01BACC89123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" name="Host Control  7">
          <a:extLst>
            <a:ext uri="{FF2B5EF4-FFF2-40B4-BE49-F238E27FC236}">
              <a16:creationId xmlns:a16="http://schemas.microsoft.com/office/drawing/2014/main" id="{6C68E321-B8E5-4D67-8203-88AAF1484485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" name="Host Control  12">
          <a:extLst>
            <a:ext uri="{FF2B5EF4-FFF2-40B4-BE49-F238E27FC236}">
              <a16:creationId xmlns:a16="http://schemas.microsoft.com/office/drawing/2014/main" id="{F8F2EBFF-D345-41FD-A6D9-47ED1FD6C37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" name="Host Control  13">
          <a:extLst>
            <a:ext uri="{FF2B5EF4-FFF2-40B4-BE49-F238E27FC236}">
              <a16:creationId xmlns:a16="http://schemas.microsoft.com/office/drawing/2014/main" id="{1478C66C-DA9A-402F-AE1D-14885A51751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" name="Host Control  14">
          <a:extLst>
            <a:ext uri="{FF2B5EF4-FFF2-40B4-BE49-F238E27FC236}">
              <a16:creationId xmlns:a16="http://schemas.microsoft.com/office/drawing/2014/main" id="{FB19AC9E-3CEA-4ED8-861F-CCBD4EFB8EF8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" name="Host Control  16">
          <a:extLst>
            <a:ext uri="{FF2B5EF4-FFF2-40B4-BE49-F238E27FC236}">
              <a16:creationId xmlns:a16="http://schemas.microsoft.com/office/drawing/2014/main" id="{8FE2A1F7-0477-45C7-B9BF-BE2EFF408DD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9" name="Host Control  17">
          <a:extLst>
            <a:ext uri="{FF2B5EF4-FFF2-40B4-BE49-F238E27FC236}">
              <a16:creationId xmlns:a16="http://schemas.microsoft.com/office/drawing/2014/main" id="{A52BC8A1-3192-4D6B-8D67-C9E433585FE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0" name="Host Control  18">
          <a:extLst>
            <a:ext uri="{FF2B5EF4-FFF2-40B4-BE49-F238E27FC236}">
              <a16:creationId xmlns:a16="http://schemas.microsoft.com/office/drawing/2014/main" id="{B3871131-CEFC-4963-922E-FC008A707810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1" name="Host Control  20">
          <a:extLst>
            <a:ext uri="{FF2B5EF4-FFF2-40B4-BE49-F238E27FC236}">
              <a16:creationId xmlns:a16="http://schemas.microsoft.com/office/drawing/2014/main" id="{38360880-770C-4035-8FCA-BAA9865EBBB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2" name="Host Control  21">
          <a:extLst>
            <a:ext uri="{FF2B5EF4-FFF2-40B4-BE49-F238E27FC236}">
              <a16:creationId xmlns:a16="http://schemas.microsoft.com/office/drawing/2014/main" id="{D1A3B200-01E2-442D-897F-482D23FBCB9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3" name="Host Control  22">
          <a:extLst>
            <a:ext uri="{FF2B5EF4-FFF2-40B4-BE49-F238E27FC236}">
              <a16:creationId xmlns:a16="http://schemas.microsoft.com/office/drawing/2014/main" id="{2E73D6C8-CC13-4AAD-ACAE-C2EBC82823CE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4" name="Host Control  24">
          <a:extLst>
            <a:ext uri="{FF2B5EF4-FFF2-40B4-BE49-F238E27FC236}">
              <a16:creationId xmlns:a16="http://schemas.microsoft.com/office/drawing/2014/main" id="{EB2DBA21-020F-4A60-911F-06B61B842F6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5" name="Host Control  25">
          <a:extLst>
            <a:ext uri="{FF2B5EF4-FFF2-40B4-BE49-F238E27FC236}">
              <a16:creationId xmlns:a16="http://schemas.microsoft.com/office/drawing/2014/main" id="{DC3AB75B-B90A-486B-9BFA-8E392B333C5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6" name="Host Control  26">
          <a:extLst>
            <a:ext uri="{FF2B5EF4-FFF2-40B4-BE49-F238E27FC236}">
              <a16:creationId xmlns:a16="http://schemas.microsoft.com/office/drawing/2014/main" id="{D49470CD-26D3-463F-827B-20579C6B1A0D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7" name="Host Control  28">
          <a:extLst>
            <a:ext uri="{FF2B5EF4-FFF2-40B4-BE49-F238E27FC236}">
              <a16:creationId xmlns:a16="http://schemas.microsoft.com/office/drawing/2014/main" id="{FFA5DCDF-4601-4DC3-B6E5-885E063CDF3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8" name="Host Control  29">
          <a:extLst>
            <a:ext uri="{FF2B5EF4-FFF2-40B4-BE49-F238E27FC236}">
              <a16:creationId xmlns:a16="http://schemas.microsoft.com/office/drawing/2014/main" id="{43D8C7E3-0B20-4C68-A89E-254B0A462EC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9" name="Host Control  30">
          <a:extLst>
            <a:ext uri="{FF2B5EF4-FFF2-40B4-BE49-F238E27FC236}">
              <a16:creationId xmlns:a16="http://schemas.microsoft.com/office/drawing/2014/main" id="{7D81E5AC-B492-48F7-918E-03D1DC097E2F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0" name="Host Control  32">
          <a:extLst>
            <a:ext uri="{FF2B5EF4-FFF2-40B4-BE49-F238E27FC236}">
              <a16:creationId xmlns:a16="http://schemas.microsoft.com/office/drawing/2014/main" id="{C27B529B-5F5A-43B2-8675-B0DD45BA1F0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1" name="Host Control  33">
          <a:extLst>
            <a:ext uri="{FF2B5EF4-FFF2-40B4-BE49-F238E27FC236}">
              <a16:creationId xmlns:a16="http://schemas.microsoft.com/office/drawing/2014/main" id="{140E49AE-716B-4769-8E1D-D14D29A04E6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2" name="Host Control  34">
          <a:extLst>
            <a:ext uri="{FF2B5EF4-FFF2-40B4-BE49-F238E27FC236}">
              <a16:creationId xmlns:a16="http://schemas.microsoft.com/office/drawing/2014/main" id="{981A0475-1C6A-42AA-BE41-1986F142B6D0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3" name="Host Control  36">
          <a:extLst>
            <a:ext uri="{FF2B5EF4-FFF2-40B4-BE49-F238E27FC236}">
              <a16:creationId xmlns:a16="http://schemas.microsoft.com/office/drawing/2014/main" id="{08D7F60D-34DF-4679-8DC9-5180DFF5A04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4" name="Host Control  37">
          <a:extLst>
            <a:ext uri="{FF2B5EF4-FFF2-40B4-BE49-F238E27FC236}">
              <a16:creationId xmlns:a16="http://schemas.microsoft.com/office/drawing/2014/main" id="{50704753-4B2F-472D-B306-39A56FAF851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5" name="Host Control  38">
          <a:extLst>
            <a:ext uri="{FF2B5EF4-FFF2-40B4-BE49-F238E27FC236}">
              <a16:creationId xmlns:a16="http://schemas.microsoft.com/office/drawing/2014/main" id="{C0D12506-BA36-43BA-8451-A7A3CF464739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6" name="Host Control  40">
          <a:extLst>
            <a:ext uri="{FF2B5EF4-FFF2-40B4-BE49-F238E27FC236}">
              <a16:creationId xmlns:a16="http://schemas.microsoft.com/office/drawing/2014/main" id="{C8F874E0-C0CA-487D-9509-AC823DF2F96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7" name="Host Control  41">
          <a:extLst>
            <a:ext uri="{FF2B5EF4-FFF2-40B4-BE49-F238E27FC236}">
              <a16:creationId xmlns:a16="http://schemas.microsoft.com/office/drawing/2014/main" id="{6FA5C59E-3471-44AE-88C4-CC12AE2746F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8" name="Host Control  42">
          <a:extLst>
            <a:ext uri="{FF2B5EF4-FFF2-40B4-BE49-F238E27FC236}">
              <a16:creationId xmlns:a16="http://schemas.microsoft.com/office/drawing/2014/main" id="{D7115124-F5A5-485F-9D46-B9EDB838227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9" name="Host Control  44">
          <a:extLst>
            <a:ext uri="{FF2B5EF4-FFF2-40B4-BE49-F238E27FC236}">
              <a16:creationId xmlns:a16="http://schemas.microsoft.com/office/drawing/2014/main" id="{ED19DA60-19C4-4D3E-96A9-A8523221F5D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0" name="Host Control  45">
          <a:extLst>
            <a:ext uri="{FF2B5EF4-FFF2-40B4-BE49-F238E27FC236}">
              <a16:creationId xmlns:a16="http://schemas.microsoft.com/office/drawing/2014/main" id="{1187F7FA-3083-4B5B-BECE-A52ED17DBA9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1" name="Host Control  46">
          <a:extLst>
            <a:ext uri="{FF2B5EF4-FFF2-40B4-BE49-F238E27FC236}">
              <a16:creationId xmlns:a16="http://schemas.microsoft.com/office/drawing/2014/main" id="{87228572-E653-4D19-844F-79C4BB0401EE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2" name="Host Control  5">
          <a:extLst>
            <a:ext uri="{FF2B5EF4-FFF2-40B4-BE49-F238E27FC236}">
              <a16:creationId xmlns:a16="http://schemas.microsoft.com/office/drawing/2014/main" id="{FB3EF7BD-C23F-420E-92D7-64E752A5050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3" name="Host Control  6">
          <a:extLst>
            <a:ext uri="{FF2B5EF4-FFF2-40B4-BE49-F238E27FC236}">
              <a16:creationId xmlns:a16="http://schemas.microsoft.com/office/drawing/2014/main" id="{B3C9DF82-0D67-42C6-A68D-083D3244AB3C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4" name="Host Control  7">
          <a:extLst>
            <a:ext uri="{FF2B5EF4-FFF2-40B4-BE49-F238E27FC236}">
              <a16:creationId xmlns:a16="http://schemas.microsoft.com/office/drawing/2014/main" id="{759DC9D5-694C-4CAB-AEFA-995EE5430B0A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5" name="Host Control  12">
          <a:extLst>
            <a:ext uri="{FF2B5EF4-FFF2-40B4-BE49-F238E27FC236}">
              <a16:creationId xmlns:a16="http://schemas.microsoft.com/office/drawing/2014/main" id="{66A1B411-AB53-43C9-AB5C-32ABF743B84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6" name="Host Control  13">
          <a:extLst>
            <a:ext uri="{FF2B5EF4-FFF2-40B4-BE49-F238E27FC236}">
              <a16:creationId xmlns:a16="http://schemas.microsoft.com/office/drawing/2014/main" id="{3242E374-3F88-4381-9CEE-4900E140F006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7" name="Host Control  14">
          <a:extLst>
            <a:ext uri="{FF2B5EF4-FFF2-40B4-BE49-F238E27FC236}">
              <a16:creationId xmlns:a16="http://schemas.microsoft.com/office/drawing/2014/main" id="{95282864-4A12-48AD-A9E6-9D7CB7C6BFA5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8" name="Host Control  16">
          <a:extLst>
            <a:ext uri="{FF2B5EF4-FFF2-40B4-BE49-F238E27FC236}">
              <a16:creationId xmlns:a16="http://schemas.microsoft.com/office/drawing/2014/main" id="{6F1CFC0C-7B11-4151-B582-A34202F4600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9" name="Host Control  17">
          <a:extLst>
            <a:ext uri="{FF2B5EF4-FFF2-40B4-BE49-F238E27FC236}">
              <a16:creationId xmlns:a16="http://schemas.microsoft.com/office/drawing/2014/main" id="{31612843-23B8-4E49-9E45-6C716AA031A4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0" name="Host Control  18">
          <a:extLst>
            <a:ext uri="{FF2B5EF4-FFF2-40B4-BE49-F238E27FC236}">
              <a16:creationId xmlns:a16="http://schemas.microsoft.com/office/drawing/2014/main" id="{B5A54694-E560-4EA7-8940-6F938163C933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1" name="Host Control  20">
          <a:extLst>
            <a:ext uri="{FF2B5EF4-FFF2-40B4-BE49-F238E27FC236}">
              <a16:creationId xmlns:a16="http://schemas.microsoft.com/office/drawing/2014/main" id="{D922FE7F-E99E-4898-A75F-325D3E9CAEB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2" name="Host Control  21">
          <a:extLst>
            <a:ext uri="{FF2B5EF4-FFF2-40B4-BE49-F238E27FC236}">
              <a16:creationId xmlns:a16="http://schemas.microsoft.com/office/drawing/2014/main" id="{8A80B40D-708F-478E-B9A5-A0A46678FA55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3" name="Host Control  22">
          <a:extLst>
            <a:ext uri="{FF2B5EF4-FFF2-40B4-BE49-F238E27FC236}">
              <a16:creationId xmlns:a16="http://schemas.microsoft.com/office/drawing/2014/main" id="{C6C7F777-4637-4C62-9723-171B5B085A21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4" name="Host Control  24">
          <a:extLst>
            <a:ext uri="{FF2B5EF4-FFF2-40B4-BE49-F238E27FC236}">
              <a16:creationId xmlns:a16="http://schemas.microsoft.com/office/drawing/2014/main" id="{9D37C389-705D-4107-98F9-77F07828E9E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5" name="Host Control  25">
          <a:extLst>
            <a:ext uri="{FF2B5EF4-FFF2-40B4-BE49-F238E27FC236}">
              <a16:creationId xmlns:a16="http://schemas.microsoft.com/office/drawing/2014/main" id="{3ADB2ACA-241C-4246-B9B2-977B189D4BA7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6" name="Host Control  26">
          <a:extLst>
            <a:ext uri="{FF2B5EF4-FFF2-40B4-BE49-F238E27FC236}">
              <a16:creationId xmlns:a16="http://schemas.microsoft.com/office/drawing/2014/main" id="{4203914B-9CF0-4217-B667-45FBC86AEF49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7" name="Host Control  28">
          <a:extLst>
            <a:ext uri="{FF2B5EF4-FFF2-40B4-BE49-F238E27FC236}">
              <a16:creationId xmlns:a16="http://schemas.microsoft.com/office/drawing/2014/main" id="{3107B5D4-9D01-4E46-B7DA-DCC0A23F5F3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8" name="Host Control  29">
          <a:extLst>
            <a:ext uri="{FF2B5EF4-FFF2-40B4-BE49-F238E27FC236}">
              <a16:creationId xmlns:a16="http://schemas.microsoft.com/office/drawing/2014/main" id="{640196D4-FCB6-42C1-A387-CA8B8DA62297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9" name="Host Control  30">
          <a:extLst>
            <a:ext uri="{FF2B5EF4-FFF2-40B4-BE49-F238E27FC236}">
              <a16:creationId xmlns:a16="http://schemas.microsoft.com/office/drawing/2014/main" id="{ADE00729-921D-483D-AD4D-3DC8C1056466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0" name="Host Control  32">
          <a:extLst>
            <a:ext uri="{FF2B5EF4-FFF2-40B4-BE49-F238E27FC236}">
              <a16:creationId xmlns:a16="http://schemas.microsoft.com/office/drawing/2014/main" id="{365A9E7F-032B-4614-B638-CCA6AAE2DAB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1" name="Host Control  33">
          <a:extLst>
            <a:ext uri="{FF2B5EF4-FFF2-40B4-BE49-F238E27FC236}">
              <a16:creationId xmlns:a16="http://schemas.microsoft.com/office/drawing/2014/main" id="{ECCCBAD6-6C8C-4B85-AD8D-720FC6F60584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2" name="Host Control  34">
          <a:extLst>
            <a:ext uri="{FF2B5EF4-FFF2-40B4-BE49-F238E27FC236}">
              <a16:creationId xmlns:a16="http://schemas.microsoft.com/office/drawing/2014/main" id="{0DCCD41E-EF44-4308-8F78-BC10F1692B2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3" name="Host Control  36">
          <a:extLst>
            <a:ext uri="{FF2B5EF4-FFF2-40B4-BE49-F238E27FC236}">
              <a16:creationId xmlns:a16="http://schemas.microsoft.com/office/drawing/2014/main" id="{289BFA77-D7F9-40D8-8830-5DF208FE117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4" name="Host Control  37">
          <a:extLst>
            <a:ext uri="{FF2B5EF4-FFF2-40B4-BE49-F238E27FC236}">
              <a16:creationId xmlns:a16="http://schemas.microsoft.com/office/drawing/2014/main" id="{F611C51A-478A-443A-A41C-C73C2FD04642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5" name="Host Control  38">
          <a:extLst>
            <a:ext uri="{FF2B5EF4-FFF2-40B4-BE49-F238E27FC236}">
              <a16:creationId xmlns:a16="http://schemas.microsoft.com/office/drawing/2014/main" id="{E2BDCC3A-C2C7-4541-8301-AF74ABCDD3C9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6" name="Host Control  40">
          <a:extLst>
            <a:ext uri="{FF2B5EF4-FFF2-40B4-BE49-F238E27FC236}">
              <a16:creationId xmlns:a16="http://schemas.microsoft.com/office/drawing/2014/main" id="{0C13AA60-43F4-44AF-AF87-563D23153C4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7" name="Host Control  41">
          <a:extLst>
            <a:ext uri="{FF2B5EF4-FFF2-40B4-BE49-F238E27FC236}">
              <a16:creationId xmlns:a16="http://schemas.microsoft.com/office/drawing/2014/main" id="{4663C9DD-8089-4A39-BF09-BCD678D77308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8" name="Host Control  42">
          <a:extLst>
            <a:ext uri="{FF2B5EF4-FFF2-40B4-BE49-F238E27FC236}">
              <a16:creationId xmlns:a16="http://schemas.microsoft.com/office/drawing/2014/main" id="{2AC2D8D4-B317-41A5-9400-120ADB7A69D5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9" name="Host Control  44">
          <a:extLst>
            <a:ext uri="{FF2B5EF4-FFF2-40B4-BE49-F238E27FC236}">
              <a16:creationId xmlns:a16="http://schemas.microsoft.com/office/drawing/2014/main" id="{13754849-3DEA-4DD3-9DF0-90EAFEE58DD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0" name="Host Control  45">
          <a:extLst>
            <a:ext uri="{FF2B5EF4-FFF2-40B4-BE49-F238E27FC236}">
              <a16:creationId xmlns:a16="http://schemas.microsoft.com/office/drawing/2014/main" id="{58D94403-27D4-4DF0-B8AA-D496AE3100CA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1" name="Host Control  46">
          <a:extLst>
            <a:ext uri="{FF2B5EF4-FFF2-40B4-BE49-F238E27FC236}">
              <a16:creationId xmlns:a16="http://schemas.microsoft.com/office/drawing/2014/main" id="{1EF8C4C0-1F1A-41BF-91D8-778A1D77FCEA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2" name="Host Control  5">
          <a:extLst>
            <a:ext uri="{FF2B5EF4-FFF2-40B4-BE49-F238E27FC236}">
              <a16:creationId xmlns:a16="http://schemas.microsoft.com/office/drawing/2014/main" id="{72779123-2D2D-49FD-A30E-7EBEC59C378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3" name="Host Control  6">
          <a:extLst>
            <a:ext uri="{FF2B5EF4-FFF2-40B4-BE49-F238E27FC236}">
              <a16:creationId xmlns:a16="http://schemas.microsoft.com/office/drawing/2014/main" id="{B6C7D245-FFCA-45B9-B4E5-A59FDD3DF8D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4" name="Host Control  7">
          <a:extLst>
            <a:ext uri="{FF2B5EF4-FFF2-40B4-BE49-F238E27FC236}">
              <a16:creationId xmlns:a16="http://schemas.microsoft.com/office/drawing/2014/main" id="{6E6264D0-0C8B-412C-A74F-36FE8E38AD4D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5" name="Host Control  12">
          <a:extLst>
            <a:ext uri="{FF2B5EF4-FFF2-40B4-BE49-F238E27FC236}">
              <a16:creationId xmlns:a16="http://schemas.microsoft.com/office/drawing/2014/main" id="{B53AAE4B-F266-4E70-8BD0-1EA92637738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6" name="Host Control  13">
          <a:extLst>
            <a:ext uri="{FF2B5EF4-FFF2-40B4-BE49-F238E27FC236}">
              <a16:creationId xmlns:a16="http://schemas.microsoft.com/office/drawing/2014/main" id="{53323FF9-1E4F-4C18-81D6-6ACA9E28115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7" name="Host Control  14">
          <a:extLst>
            <a:ext uri="{FF2B5EF4-FFF2-40B4-BE49-F238E27FC236}">
              <a16:creationId xmlns:a16="http://schemas.microsoft.com/office/drawing/2014/main" id="{AA5A877D-52D1-43D9-9AFC-FCD82C579B9A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8" name="Host Control  16">
          <a:extLst>
            <a:ext uri="{FF2B5EF4-FFF2-40B4-BE49-F238E27FC236}">
              <a16:creationId xmlns:a16="http://schemas.microsoft.com/office/drawing/2014/main" id="{AF8768C3-28F5-4AB6-B675-C5CCC6E26FB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9" name="Host Control  17">
          <a:extLst>
            <a:ext uri="{FF2B5EF4-FFF2-40B4-BE49-F238E27FC236}">
              <a16:creationId xmlns:a16="http://schemas.microsoft.com/office/drawing/2014/main" id="{877001CE-4B55-4527-A3C2-BABA0212BBE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0" name="Host Control  18">
          <a:extLst>
            <a:ext uri="{FF2B5EF4-FFF2-40B4-BE49-F238E27FC236}">
              <a16:creationId xmlns:a16="http://schemas.microsoft.com/office/drawing/2014/main" id="{2DBD51B2-4D55-462F-BA42-50EFBEE8B287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1" name="Host Control  20">
          <a:extLst>
            <a:ext uri="{FF2B5EF4-FFF2-40B4-BE49-F238E27FC236}">
              <a16:creationId xmlns:a16="http://schemas.microsoft.com/office/drawing/2014/main" id="{1F83C9E8-CCA3-48A5-A66D-AD8FD687296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2" name="Host Control  21">
          <a:extLst>
            <a:ext uri="{FF2B5EF4-FFF2-40B4-BE49-F238E27FC236}">
              <a16:creationId xmlns:a16="http://schemas.microsoft.com/office/drawing/2014/main" id="{208F4C71-B48C-49D9-ABED-CA14D5155BE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3" name="Host Control  22">
          <a:extLst>
            <a:ext uri="{FF2B5EF4-FFF2-40B4-BE49-F238E27FC236}">
              <a16:creationId xmlns:a16="http://schemas.microsoft.com/office/drawing/2014/main" id="{3A761C1B-FB2B-416E-974C-16D5180DCA6E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4" name="Host Control  24">
          <a:extLst>
            <a:ext uri="{FF2B5EF4-FFF2-40B4-BE49-F238E27FC236}">
              <a16:creationId xmlns:a16="http://schemas.microsoft.com/office/drawing/2014/main" id="{D57A37DE-3B79-4C29-BC38-05E318230DF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5" name="Host Control  25">
          <a:extLst>
            <a:ext uri="{FF2B5EF4-FFF2-40B4-BE49-F238E27FC236}">
              <a16:creationId xmlns:a16="http://schemas.microsoft.com/office/drawing/2014/main" id="{B713E614-EC93-4118-A1E3-8D34C3BB6E6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6" name="Host Control  26">
          <a:extLst>
            <a:ext uri="{FF2B5EF4-FFF2-40B4-BE49-F238E27FC236}">
              <a16:creationId xmlns:a16="http://schemas.microsoft.com/office/drawing/2014/main" id="{1B706FD7-A4D1-4018-8512-F98D088E87F7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7" name="Host Control  28">
          <a:extLst>
            <a:ext uri="{FF2B5EF4-FFF2-40B4-BE49-F238E27FC236}">
              <a16:creationId xmlns:a16="http://schemas.microsoft.com/office/drawing/2014/main" id="{6CDA46BE-2AA9-4B5A-BD30-AD15C1F1E79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8" name="Host Control  29">
          <a:extLst>
            <a:ext uri="{FF2B5EF4-FFF2-40B4-BE49-F238E27FC236}">
              <a16:creationId xmlns:a16="http://schemas.microsoft.com/office/drawing/2014/main" id="{819F016F-8F0D-45D3-BC4A-5E036F9892F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9" name="Host Control  30">
          <a:extLst>
            <a:ext uri="{FF2B5EF4-FFF2-40B4-BE49-F238E27FC236}">
              <a16:creationId xmlns:a16="http://schemas.microsoft.com/office/drawing/2014/main" id="{699FBD8B-B7D3-49C8-809B-D7B67AEF849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0" name="Host Control  32">
          <a:extLst>
            <a:ext uri="{FF2B5EF4-FFF2-40B4-BE49-F238E27FC236}">
              <a16:creationId xmlns:a16="http://schemas.microsoft.com/office/drawing/2014/main" id="{723D74CA-ED99-48F3-9576-A27A1B0F4BF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1" name="Host Control  33">
          <a:extLst>
            <a:ext uri="{FF2B5EF4-FFF2-40B4-BE49-F238E27FC236}">
              <a16:creationId xmlns:a16="http://schemas.microsoft.com/office/drawing/2014/main" id="{B77A4B7D-C11A-4AE8-9A3A-F89E40C3C6F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82" name="Host Control  34">
          <a:extLst>
            <a:ext uri="{FF2B5EF4-FFF2-40B4-BE49-F238E27FC236}">
              <a16:creationId xmlns:a16="http://schemas.microsoft.com/office/drawing/2014/main" id="{B39551A1-E75F-4DDD-8B3B-E416272D2F06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3" name="Host Control  36">
          <a:extLst>
            <a:ext uri="{FF2B5EF4-FFF2-40B4-BE49-F238E27FC236}">
              <a16:creationId xmlns:a16="http://schemas.microsoft.com/office/drawing/2014/main" id="{254CC006-796E-4453-9DAF-2323DFFDDBA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4" name="Host Control  37">
          <a:extLst>
            <a:ext uri="{FF2B5EF4-FFF2-40B4-BE49-F238E27FC236}">
              <a16:creationId xmlns:a16="http://schemas.microsoft.com/office/drawing/2014/main" id="{B80ECF72-8A26-4563-B64E-992EEBEB257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85" name="Host Control  38">
          <a:extLst>
            <a:ext uri="{FF2B5EF4-FFF2-40B4-BE49-F238E27FC236}">
              <a16:creationId xmlns:a16="http://schemas.microsoft.com/office/drawing/2014/main" id="{DBE23F9E-7603-4BE3-A8FE-E96114B1B685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6" name="Host Control  40">
          <a:extLst>
            <a:ext uri="{FF2B5EF4-FFF2-40B4-BE49-F238E27FC236}">
              <a16:creationId xmlns:a16="http://schemas.microsoft.com/office/drawing/2014/main" id="{BFE98661-A830-437F-A1F2-6814C59A4C8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7" name="Host Control  41">
          <a:extLst>
            <a:ext uri="{FF2B5EF4-FFF2-40B4-BE49-F238E27FC236}">
              <a16:creationId xmlns:a16="http://schemas.microsoft.com/office/drawing/2014/main" id="{1ABA36C0-1120-4C7B-9976-CEE01186C80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88" name="Host Control  42">
          <a:extLst>
            <a:ext uri="{FF2B5EF4-FFF2-40B4-BE49-F238E27FC236}">
              <a16:creationId xmlns:a16="http://schemas.microsoft.com/office/drawing/2014/main" id="{FD785F00-2C54-40EE-826B-A8B8246D1A97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9" name="Host Control  44">
          <a:extLst>
            <a:ext uri="{FF2B5EF4-FFF2-40B4-BE49-F238E27FC236}">
              <a16:creationId xmlns:a16="http://schemas.microsoft.com/office/drawing/2014/main" id="{3D4CC935-EE03-4A69-8752-BE84DE9AD6A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90" name="Host Control  45">
          <a:extLst>
            <a:ext uri="{FF2B5EF4-FFF2-40B4-BE49-F238E27FC236}">
              <a16:creationId xmlns:a16="http://schemas.microsoft.com/office/drawing/2014/main" id="{7BDBEC30-E0EC-4C3A-9F92-78C19BDCC9A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91" name="Host Control  46">
          <a:extLst>
            <a:ext uri="{FF2B5EF4-FFF2-40B4-BE49-F238E27FC236}">
              <a16:creationId xmlns:a16="http://schemas.microsoft.com/office/drawing/2014/main" id="{5429C1BC-AA54-459D-B355-9DD24F3F6971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92" name="Host Control  5">
          <a:extLst>
            <a:ext uri="{FF2B5EF4-FFF2-40B4-BE49-F238E27FC236}">
              <a16:creationId xmlns:a16="http://schemas.microsoft.com/office/drawing/2014/main" id="{B1E13EA0-E0F6-4781-8BDF-736B9021BF8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93" name="Host Control  6">
          <a:extLst>
            <a:ext uri="{FF2B5EF4-FFF2-40B4-BE49-F238E27FC236}">
              <a16:creationId xmlns:a16="http://schemas.microsoft.com/office/drawing/2014/main" id="{3C4A7233-0433-4014-BAD4-CDE846B75A41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94" name="Host Control  7">
          <a:extLst>
            <a:ext uri="{FF2B5EF4-FFF2-40B4-BE49-F238E27FC236}">
              <a16:creationId xmlns:a16="http://schemas.microsoft.com/office/drawing/2014/main" id="{0AECCEE8-2D55-4D3C-A9AE-8DB1C44D649E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95" name="Host Control  12">
          <a:extLst>
            <a:ext uri="{FF2B5EF4-FFF2-40B4-BE49-F238E27FC236}">
              <a16:creationId xmlns:a16="http://schemas.microsoft.com/office/drawing/2014/main" id="{71397073-9C32-4C58-BB02-27E92B76431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96" name="Host Control  13">
          <a:extLst>
            <a:ext uri="{FF2B5EF4-FFF2-40B4-BE49-F238E27FC236}">
              <a16:creationId xmlns:a16="http://schemas.microsoft.com/office/drawing/2014/main" id="{FC0EFA9A-876D-4643-91D3-3E1653207E0B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97" name="Host Control  14">
          <a:extLst>
            <a:ext uri="{FF2B5EF4-FFF2-40B4-BE49-F238E27FC236}">
              <a16:creationId xmlns:a16="http://schemas.microsoft.com/office/drawing/2014/main" id="{C10E5E4D-D13C-4E85-ABD8-8BA2CFA89699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98" name="Host Control  16">
          <a:extLst>
            <a:ext uri="{FF2B5EF4-FFF2-40B4-BE49-F238E27FC236}">
              <a16:creationId xmlns:a16="http://schemas.microsoft.com/office/drawing/2014/main" id="{403E232A-6CA9-4C7B-8F68-FF791DAD37D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99" name="Host Control  17">
          <a:extLst>
            <a:ext uri="{FF2B5EF4-FFF2-40B4-BE49-F238E27FC236}">
              <a16:creationId xmlns:a16="http://schemas.microsoft.com/office/drawing/2014/main" id="{AD98F8FE-AA28-497F-BF22-0E2F6BD26FB0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00" name="Host Control  18">
          <a:extLst>
            <a:ext uri="{FF2B5EF4-FFF2-40B4-BE49-F238E27FC236}">
              <a16:creationId xmlns:a16="http://schemas.microsoft.com/office/drawing/2014/main" id="{7DFBB4DA-8CCB-46B2-B9FE-8DBEC1BDDA53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01" name="Host Control  20">
          <a:extLst>
            <a:ext uri="{FF2B5EF4-FFF2-40B4-BE49-F238E27FC236}">
              <a16:creationId xmlns:a16="http://schemas.microsoft.com/office/drawing/2014/main" id="{0790FE68-DD1F-463A-B243-C8067D8272C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02" name="Host Control  21">
          <a:extLst>
            <a:ext uri="{FF2B5EF4-FFF2-40B4-BE49-F238E27FC236}">
              <a16:creationId xmlns:a16="http://schemas.microsoft.com/office/drawing/2014/main" id="{BCB7ACA1-72C7-4FBF-91C3-9BEA030A9E12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03" name="Host Control  22">
          <a:extLst>
            <a:ext uri="{FF2B5EF4-FFF2-40B4-BE49-F238E27FC236}">
              <a16:creationId xmlns:a16="http://schemas.microsoft.com/office/drawing/2014/main" id="{E447B672-4A93-4F5C-9E52-AED48661BB23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04" name="Host Control  24">
          <a:extLst>
            <a:ext uri="{FF2B5EF4-FFF2-40B4-BE49-F238E27FC236}">
              <a16:creationId xmlns:a16="http://schemas.microsoft.com/office/drawing/2014/main" id="{0ED26177-35F9-4F65-AA9A-840F583A11A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05" name="Host Control  25">
          <a:extLst>
            <a:ext uri="{FF2B5EF4-FFF2-40B4-BE49-F238E27FC236}">
              <a16:creationId xmlns:a16="http://schemas.microsoft.com/office/drawing/2014/main" id="{BA87ECEA-60F4-4DC6-8AB1-8CE03AB84729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06" name="Host Control  26">
          <a:extLst>
            <a:ext uri="{FF2B5EF4-FFF2-40B4-BE49-F238E27FC236}">
              <a16:creationId xmlns:a16="http://schemas.microsoft.com/office/drawing/2014/main" id="{55982001-A0EF-4A62-8F43-0D4B3FBB4577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07" name="Host Control  28">
          <a:extLst>
            <a:ext uri="{FF2B5EF4-FFF2-40B4-BE49-F238E27FC236}">
              <a16:creationId xmlns:a16="http://schemas.microsoft.com/office/drawing/2014/main" id="{CB15DAA8-7E59-4A73-827B-4DA778A0EEE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08" name="Host Control  29">
          <a:extLst>
            <a:ext uri="{FF2B5EF4-FFF2-40B4-BE49-F238E27FC236}">
              <a16:creationId xmlns:a16="http://schemas.microsoft.com/office/drawing/2014/main" id="{128D7F29-9D3F-4E59-86CD-9C1CBD0AC271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09" name="Host Control  30">
          <a:extLst>
            <a:ext uri="{FF2B5EF4-FFF2-40B4-BE49-F238E27FC236}">
              <a16:creationId xmlns:a16="http://schemas.microsoft.com/office/drawing/2014/main" id="{83AEAD9C-546C-41D3-AB98-6B39C4707C8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10" name="Host Control  32">
          <a:extLst>
            <a:ext uri="{FF2B5EF4-FFF2-40B4-BE49-F238E27FC236}">
              <a16:creationId xmlns:a16="http://schemas.microsoft.com/office/drawing/2014/main" id="{CE4D86F2-805E-46D6-A7E9-44D5A5F2B4C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11" name="Host Control  33">
          <a:extLst>
            <a:ext uri="{FF2B5EF4-FFF2-40B4-BE49-F238E27FC236}">
              <a16:creationId xmlns:a16="http://schemas.microsoft.com/office/drawing/2014/main" id="{90F26396-6698-4D0E-9C64-BA8A542214C6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12" name="Host Control  34">
          <a:extLst>
            <a:ext uri="{FF2B5EF4-FFF2-40B4-BE49-F238E27FC236}">
              <a16:creationId xmlns:a16="http://schemas.microsoft.com/office/drawing/2014/main" id="{EE949B53-32E8-44FE-B983-983CDABA6271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13" name="Host Control  36">
          <a:extLst>
            <a:ext uri="{FF2B5EF4-FFF2-40B4-BE49-F238E27FC236}">
              <a16:creationId xmlns:a16="http://schemas.microsoft.com/office/drawing/2014/main" id="{D14FB42A-9428-4135-BB0B-7E2159DC447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14" name="Host Control  37">
          <a:extLst>
            <a:ext uri="{FF2B5EF4-FFF2-40B4-BE49-F238E27FC236}">
              <a16:creationId xmlns:a16="http://schemas.microsoft.com/office/drawing/2014/main" id="{931AFE26-6EE5-464B-A4E9-489FF7F6CD08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15" name="Host Control  38">
          <a:extLst>
            <a:ext uri="{FF2B5EF4-FFF2-40B4-BE49-F238E27FC236}">
              <a16:creationId xmlns:a16="http://schemas.microsoft.com/office/drawing/2014/main" id="{05FF0585-9165-412E-BAC2-D74DC08A1A31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16" name="Host Control  40">
          <a:extLst>
            <a:ext uri="{FF2B5EF4-FFF2-40B4-BE49-F238E27FC236}">
              <a16:creationId xmlns:a16="http://schemas.microsoft.com/office/drawing/2014/main" id="{EDB88F8F-7D00-4050-865B-69D0C0201FE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17" name="Host Control  41">
          <a:extLst>
            <a:ext uri="{FF2B5EF4-FFF2-40B4-BE49-F238E27FC236}">
              <a16:creationId xmlns:a16="http://schemas.microsoft.com/office/drawing/2014/main" id="{B75DFC8C-1D90-4D20-A1BC-28C3BF1A3D39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18" name="Host Control  42">
          <a:extLst>
            <a:ext uri="{FF2B5EF4-FFF2-40B4-BE49-F238E27FC236}">
              <a16:creationId xmlns:a16="http://schemas.microsoft.com/office/drawing/2014/main" id="{69AC491E-7249-4B8E-B914-30D3B70CC011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19" name="Host Control  44">
          <a:extLst>
            <a:ext uri="{FF2B5EF4-FFF2-40B4-BE49-F238E27FC236}">
              <a16:creationId xmlns:a16="http://schemas.microsoft.com/office/drawing/2014/main" id="{AB5C55B8-02F2-4729-8A4D-A9DBA16E76A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20" name="Host Control  45">
          <a:extLst>
            <a:ext uri="{FF2B5EF4-FFF2-40B4-BE49-F238E27FC236}">
              <a16:creationId xmlns:a16="http://schemas.microsoft.com/office/drawing/2014/main" id="{1CB3F80A-EF94-420F-B693-7E36DE2C9F76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21" name="Host Control  46">
          <a:extLst>
            <a:ext uri="{FF2B5EF4-FFF2-40B4-BE49-F238E27FC236}">
              <a16:creationId xmlns:a16="http://schemas.microsoft.com/office/drawing/2014/main" id="{632D5F97-F2AF-47F7-96EE-6883DAC45E6C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22" name="Host Control  5">
          <a:extLst>
            <a:ext uri="{FF2B5EF4-FFF2-40B4-BE49-F238E27FC236}">
              <a16:creationId xmlns:a16="http://schemas.microsoft.com/office/drawing/2014/main" id="{CC80B74C-59D3-4AD1-9B4A-04806D12F63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23" name="Host Control  6">
          <a:extLst>
            <a:ext uri="{FF2B5EF4-FFF2-40B4-BE49-F238E27FC236}">
              <a16:creationId xmlns:a16="http://schemas.microsoft.com/office/drawing/2014/main" id="{E29AC2D2-4F49-477D-B7ED-C156E98794F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24" name="Host Control  7">
          <a:extLst>
            <a:ext uri="{FF2B5EF4-FFF2-40B4-BE49-F238E27FC236}">
              <a16:creationId xmlns:a16="http://schemas.microsoft.com/office/drawing/2014/main" id="{AFB0AFB6-712C-4C65-8051-E7FF9D5EC423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25" name="Host Control  12">
          <a:extLst>
            <a:ext uri="{FF2B5EF4-FFF2-40B4-BE49-F238E27FC236}">
              <a16:creationId xmlns:a16="http://schemas.microsoft.com/office/drawing/2014/main" id="{EB1FE40D-D3A1-4E95-862C-32D19BE338E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26" name="Host Control  13">
          <a:extLst>
            <a:ext uri="{FF2B5EF4-FFF2-40B4-BE49-F238E27FC236}">
              <a16:creationId xmlns:a16="http://schemas.microsoft.com/office/drawing/2014/main" id="{C5438E9A-17A3-4764-A306-A08DA4B2515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27" name="Host Control  14">
          <a:extLst>
            <a:ext uri="{FF2B5EF4-FFF2-40B4-BE49-F238E27FC236}">
              <a16:creationId xmlns:a16="http://schemas.microsoft.com/office/drawing/2014/main" id="{A8F9BC49-BB12-4B2E-A050-D32602C69FCF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28" name="Host Control  16">
          <a:extLst>
            <a:ext uri="{FF2B5EF4-FFF2-40B4-BE49-F238E27FC236}">
              <a16:creationId xmlns:a16="http://schemas.microsoft.com/office/drawing/2014/main" id="{14269AF5-2107-4EA0-999E-2FD2340C280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29" name="Host Control  17">
          <a:extLst>
            <a:ext uri="{FF2B5EF4-FFF2-40B4-BE49-F238E27FC236}">
              <a16:creationId xmlns:a16="http://schemas.microsoft.com/office/drawing/2014/main" id="{7D8C1D90-7CB6-4D10-80FE-DA8B199A65A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30" name="Host Control  18">
          <a:extLst>
            <a:ext uri="{FF2B5EF4-FFF2-40B4-BE49-F238E27FC236}">
              <a16:creationId xmlns:a16="http://schemas.microsoft.com/office/drawing/2014/main" id="{FDD1FDB0-08DB-4EF2-8D56-C5C66F36D7B5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31" name="Host Control  20">
          <a:extLst>
            <a:ext uri="{FF2B5EF4-FFF2-40B4-BE49-F238E27FC236}">
              <a16:creationId xmlns:a16="http://schemas.microsoft.com/office/drawing/2014/main" id="{4DD484BC-CB26-4C1A-9F12-9AB455885A7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32" name="Host Control  21">
          <a:extLst>
            <a:ext uri="{FF2B5EF4-FFF2-40B4-BE49-F238E27FC236}">
              <a16:creationId xmlns:a16="http://schemas.microsoft.com/office/drawing/2014/main" id="{C88C6739-3F5E-469B-ABB5-C12E9501B41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33" name="Host Control  22">
          <a:extLst>
            <a:ext uri="{FF2B5EF4-FFF2-40B4-BE49-F238E27FC236}">
              <a16:creationId xmlns:a16="http://schemas.microsoft.com/office/drawing/2014/main" id="{A2C062D9-A2D6-4C7A-8DAF-674415D54469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34" name="Host Control  24">
          <a:extLst>
            <a:ext uri="{FF2B5EF4-FFF2-40B4-BE49-F238E27FC236}">
              <a16:creationId xmlns:a16="http://schemas.microsoft.com/office/drawing/2014/main" id="{1D7023AF-AFD9-4B56-A9BE-C471BEABACB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35" name="Host Control  25">
          <a:extLst>
            <a:ext uri="{FF2B5EF4-FFF2-40B4-BE49-F238E27FC236}">
              <a16:creationId xmlns:a16="http://schemas.microsoft.com/office/drawing/2014/main" id="{67FC42B7-44FA-4FC7-8699-FEF402BBF4C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36" name="Host Control  26">
          <a:extLst>
            <a:ext uri="{FF2B5EF4-FFF2-40B4-BE49-F238E27FC236}">
              <a16:creationId xmlns:a16="http://schemas.microsoft.com/office/drawing/2014/main" id="{74BC7C85-0389-4F44-87D6-4EE185DC773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37" name="Host Control  28">
          <a:extLst>
            <a:ext uri="{FF2B5EF4-FFF2-40B4-BE49-F238E27FC236}">
              <a16:creationId xmlns:a16="http://schemas.microsoft.com/office/drawing/2014/main" id="{B764DCDC-79BC-42B8-AB9E-94911F2C7DC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38" name="Host Control  29">
          <a:extLst>
            <a:ext uri="{FF2B5EF4-FFF2-40B4-BE49-F238E27FC236}">
              <a16:creationId xmlns:a16="http://schemas.microsoft.com/office/drawing/2014/main" id="{7DADE67C-1389-4A25-8777-F4A2EF2020A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39" name="Host Control  30">
          <a:extLst>
            <a:ext uri="{FF2B5EF4-FFF2-40B4-BE49-F238E27FC236}">
              <a16:creationId xmlns:a16="http://schemas.microsoft.com/office/drawing/2014/main" id="{67CFE2D7-E8FB-46B5-A54C-33A8228B4FBD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40" name="Host Control  32">
          <a:extLst>
            <a:ext uri="{FF2B5EF4-FFF2-40B4-BE49-F238E27FC236}">
              <a16:creationId xmlns:a16="http://schemas.microsoft.com/office/drawing/2014/main" id="{3D3E9207-4E36-4B67-8E29-9697BBCF200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41" name="Host Control  33">
          <a:extLst>
            <a:ext uri="{FF2B5EF4-FFF2-40B4-BE49-F238E27FC236}">
              <a16:creationId xmlns:a16="http://schemas.microsoft.com/office/drawing/2014/main" id="{A2A39673-1E82-4E19-BAEC-5F1FD813F45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42" name="Host Control  34">
          <a:extLst>
            <a:ext uri="{FF2B5EF4-FFF2-40B4-BE49-F238E27FC236}">
              <a16:creationId xmlns:a16="http://schemas.microsoft.com/office/drawing/2014/main" id="{D87DF378-3E80-4071-8BE9-F3B95EF8ABA9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43" name="Host Control  36">
          <a:extLst>
            <a:ext uri="{FF2B5EF4-FFF2-40B4-BE49-F238E27FC236}">
              <a16:creationId xmlns:a16="http://schemas.microsoft.com/office/drawing/2014/main" id="{4C33D6D6-C6F6-4A4C-9D91-87F374661A8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44" name="Host Control  37">
          <a:extLst>
            <a:ext uri="{FF2B5EF4-FFF2-40B4-BE49-F238E27FC236}">
              <a16:creationId xmlns:a16="http://schemas.microsoft.com/office/drawing/2014/main" id="{9A45B809-14E3-4201-8CD6-DBE9DBFB3E0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45" name="Host Control  38">
          <a:extLst>
            <a:ext uri="{FF2B5EF4-FFF2-40B4-BE49-F238E27FC236}">
              <a16:creationId xmlns:a16="http://schemas.microsoft.com/office/drawing/2014/main" id="{B977A43F-112D-4616-A27B-6D7CD93169EB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46" name="Host Control  40">
          <a:extLst>
            <a:ext uri="{FF2B5EF4-FFF2-40B4-BE49-F238E27FC236}">
              <a16:creationId xmlns:a16="http://schemas.microsoft.com/office/drawing/2014/main" id="{90CD2EC9-E3DA-4756-912D-0AA9BA693D2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47" name="Host Control  41">
          <a:extLst>
            <a:ext uri="{FF2B5EF4-FFF2-40B4-BE49-F238E27FC236}">
              <a16:creationId xmlns:a16="http://schemas.microsoft.com/office/drawing/2014/main" id="{234D789B-23FE-4532-811C-83A181F6C03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48" name="Host Control  42">
          <a:extLst>
            <a:ext uri="{FF2B5EF4-FFF2-40B4-BE49-F238E27FC236}">
              <a16:creationId xmlns:a16="http://schemas.microsoft.com/office/drawing/2014/main" id="{8FE85216-D106-47DB-B7ED-EC8BB7E196C0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49" name="Host Control  44">
          <a:extLst>
            <a:ext uri="{FF2B5EF4-FFF2-40B4-BE49-F238E27FC236}">
              <a16:creationId xmlns:a16="http://schemas.microsoft.com/office/drawing/2014/main" id="{7A3955C6-1EB3-4E22-B519-909B496D264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50" name="Host Control  45">
          <a:extLst>
            <a:ext uri="{FF2B5EF4-FFF2-40B4-BE49-F238E27FC236}">
              <a16:creationId xmlns:a16="http://schemas.microsoft.com/office/drawing/2014/main" id="{05C61C35-F7C7-44DF-8D28-4E01B6CA708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51" name="Host Control  46">
          <a:extLst>
            <a:ext uri="{FF2B5EF4-FFF2-40B4-BE49-F238E27FC236}">
              <a16:creationId xmlns:a16="http://schemas.microsoft.com/office/drawing/2014/main" id="{A28D46FE-7063-4397-AD21-329F6B70265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52" name="Host Control  5">
          <a:extLst>
            <a:ext uri="{FF2B5EF4-FFF2-40B4-BE49-F238E27FC236}">
              <a16:creationId xmlns:a16="http://schemas.microsoft.com/office/drawing/2014/main" id="{5EC93E55-93FB-4160-9FFB-C1C9ED677DC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53" name="Host Control  6">
          <a:extLst>
            <a:ext uri="{FF2B5EF4-FFF2-40B4-BE49-F238E27FC236}">
              <a16:creationId xmlns:a16="http://schemas.microsoft.com/office/drawing/2014/main" id="{DE39D14A-9813-4F81-9DFD-3A6738DB3272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54" name="Host Control  7">
          <a:extLst>
            <a:ext uri="{FF2B5EF4-FFF2-40B4-BE49-F238E27FC236}">
              <a16:creationId xmlns:a16="http://schemas.microsoft.com/office/drawing/2014/main" id="{ED4BD867-369E-49E1-9868-341D67B7DEA7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55" name="Host Control  12">
          <a:extLst>
            <a:ext uri="{FF2B5EF4-FFF2-40B4-BE49-F238E27FC236}">
              <a16:creationId xmlns:a16="http://schemas.microsoft.com/office/drawing/2014/main" id="{B28EBE08-BA42-4AD4-9DAC-6D4F023CC44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56" name="Host Control  13">
          <a:extLst>
            <a:ext uri="{FF2B5EF4-FFF2-40B4-BE49-F238E27FC236}">
              <a16:creationId xmlns:a16="http://schemas.microsoft.com/office/drawing/2014/main" id="{6169A7BE-53E5-4697-AB65-232F81DA6D9B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57" name="Host Control  14">
          <a:extLst>
            <a:ext uri="{FF2B5EF4-FFF2-40B4-BE49-F238E27FC236}">
              <a16:creationId xmlns:a16="http://schemas.microsoft.com/office/drawing/2014/main" id="{F63A148A-3FA6-4077-A946-98B6EF47164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58" name="Host Control  16">
          <a:extLst>
            <a:ext uri="{FF2B5EF4-FFF2-40B4-BE49-F238E27FC236}">
              <a16:creationId xmlns:a16="http://schemas.microsoft.com/office/drawing/2014/main" id="{898BE781-D698-470A-B6E2-F5B6FFC3B1C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59" name="Host Control  17">
          <a:extLst>
            <a:ext uri="{FF2B5EF4-FFF2-40B4-BE49-F238E27FC236}">
              <a16:creationId xmlns:a16="http://schemas.microsoft.com/office/drawing/2014/main" id="{52AE73A9-DB80-47D4-AD67-79A016DDF4E5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60" name="Host Control  18">
          <a:extLst>
            <a:ext uri="{FF2B5EF4-FFF2-40B4-BE49-F238E27FC236}">
              <a16:creationId xmlns:a16="http://schemas.microsoft.com/office/drawing/2014/main" id="{F0C38675-3FF5-459F-8D18-ED553CA6C4D3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61" name="Host Control  20">
          <a:extLst>
            <a:ext uri="{FF2B5EF4-FFF2-40B4-BE49-F238E27FC236}">
              <a16:creationId xmlns:a16="http://schemas.microsoft.com/office/drawing/2014/main" id="{C9ED910B-8BBD-4B92-A4F8-7318E85F28A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62" name="Host Control  21">
          <a:extLst>
            <a:ext uri="{FF2B5EF4-FFF2-40B4-BE49-F238E27FC236}">
              <a16:creationId xmlns:a16="http://schemas.microsoft.com/office/drawing/2014/main" id="{9C0B5163-6523-4C19-A1FF-7EB70F670AB4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63" name="Host Control  22">
          <a:extLst>
            <a:ext uri="{FF2B5EF4-FFF2-40B4-BE49-F238E27FC236}">
              <a16:creationId xmlns:a16="http://schemas.microsoft.com/office/drawing/2014/main" id="{11E82AA3-F034-425E-93B8-9B455A77DE61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64" name="Host Control  24">
          <a:extLst>
            <a:ext uri="{FF2B5EF4-FFF2-40B4-BE49-F238E27FC236}">
              <a16:creationId xmlns:a16="http://schemas.microsoft.com/office/drawing/2014/main" id="{AD254A63-B75A-4712-8B9A-AB3BFBDF596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65" name="Host Control  25">
          <a:extLst>
            <a:ext uri="{FF2B5EF4-FFF2-40B4-BE49-F238E27FC236}">
              <a16:creationId xmlns:a16="http://schemas.microsoft.com/office/drawing/2014/main" id="{815585F5-5FAA-40B8-BB69-BD66D90431B7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66" name="Host Control  26">
          <a:extLst>
            <a:ext uri="{FF2B5EF4-FFF2-40B4-BE49-F238E27FC236}">
              <a16:creationId xmlns:a16="http://schemas.microsoft.com/office/drawing/2014/main" id="{E451DAB4-9C9E-43D8-BE93-F682DACFC689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67" name="Host Control  28">
          <a:extLst>
            <a:ext uri="{FF2B5EF4-FFF2-40B4-BE49-F238E27FC236}">
              <a16:creationId xmlns:a16="http://schemas.microsoft.com/office/drawing/2014/main" id="{C9041C90-D876-4E7B-9B6E-DA9904BB250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68" name="Host Control  29">
          <a:extLst>
            <a:ext uri="{FF2B5EF4-FFF2-40B4-BE49-F238E27FC236}">
              <a16:creationId xmlns:a16="http://schemas.microsoft.com/office/drawing/2014/main" id="{425E6A6D-20B2-4797-8EC4-E7867A1C626C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69" name="Host Control  30">
          <a:extLst>
            <a:ext uri="{FF2B5EF4-FFF2-40B4-BE49-F238E27FC236}">
              <a16:creationId xmlns:a16="http://schemas.microsoft.com/office/drawing/2014/main" id="{88BF015C-8F39-44D2-832E-3C91669D6FE3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70" name="Host Control  32">
          <a:extLst>
            <a:ext uri="{FF2B5EF4-FFF2-40B4-BE49-F238E27FC236}">
              <a16:creationId xmlns:a16="http://schemas.microsoft.com/office/drawing/2014/main" id="{1BFC4783-EDC5-4FA9-8301-9E2BD4FDF47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71" name="Host Control  33">
          <a:extLst>
            <a:ext uri="{FF2B5EF4-FFF2-40B4-BE49-F238E27FC236}">
              <a16:creationId xmlns:a16="http://schemas.microsoft.com/office/drawing/2014/main" id="{6BCB6B9C-F8FB-4FFE-BA32-4C8C70853B9A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72" name="Host Control  34">
          <a:extLst>
            <a:ext uri="{FF2B5EF4-FFF2-40B4-BE49-F238E27FC236}">
              <a16:creationId xmlns:a16="http://schemas.microsoft.com/office/drawing/2014/main" id="{63EA7032-B62B-4E72-9DAE-5106DEAC5864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73" name="Host Control  36">
          <a:extLst>
            <a:ext uri="{FF2B5EF4-FFF2-40B4-BE49-F238E27FC236}">
              <a16:creationId xmlns:a16="http://schemas.microsoft.com/office/drawing/2014/main" id="{A0533EFF-8EE0-473C-9D23-27E008B3AAB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74" name="Host Control  37">
          <a:extLst>
            <a:ext uri="{FF2B5EF4-FFF2-40B4-BE49-F238E27FC236}">
              <a16:creationId xmlns:a16="http://schemas.microsoft.com/office/drawing/2014/main" id="{3FEE61A7-1F08-4E86-A4E6-56E695D5CABA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75" name="Host Control  38">
          <a:extLst>
            <a:ext uri="{FF2B5EF4-FFF2-40B4-BE49-F238E27FC236}">
              <a16:creationId xmlns:a16="http://schemas.microsoft.com/office/drawing/2014/main" id="{B1C03E2F-BD12-4792-BA7B-B0D3533D871D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76" name="Host Control  40">
          <a:extLst>
            <a:ext uri="{FF2B5EF4-FFF2-40B4-BE49-F238E27FC236}">
              <a16:creationId xmlns:a16="http://schemas.microsoft.com/office/drawing/2014/main" id="{31B838EA-C7C5-4F2A-ABCE-B12224B832D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77" name="Host Control  41">
          <a:extLst>
            <a:ext uri="{FF2B5EF4-FFF2-40B4-BE49-F238E27FC236}">
              <a16:creationId xmlns:a16="http://schemas.microsoft.com/office/drawing/2014/main" id="{BDBE8B7C-4795-4313-9EFE-6682B7749805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78" name="Host Control  42">
          <a:extLst>
            <a:ext uri="{FF2B5EF4-FFF2-40B4-BE49-F238E27FC236}">
              <a16:creationId xmlns:a16="http://schemas.microsoft.com/office/drawing/2014/main" id="{00E88CAF-175B-4C56-8C36-66B94088BEC2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79" name="Host Control  44">
          <a:extLst>
            <a:ext uri="{FF2B5EF4-FFF2-40B4-BE49-F238E27FC236}">
              <a16:creationId xmlns:a16="http://schemas.microsoft.com/office/drawing/2014/main" id="{ACBA1D3A-A0AF-4610-84C3-7427FEC66A8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180" name="Host Control  45">
          <a:extLst>
            <a:ext uri="{FF2B5EF4-FFF2-40B4-BE49-F238E27FC236}">
              <a16:creationId xmlns:a16="http://schemas.microsoft.com/office/drawing/2014/main" id="{58D7CE83-8E7F-4FAA-BACD-9FC76B163BEB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181" name="Host Control  46">
          <a:extLst>
            <a:ext uri="{FF2B5EF4-FFF2-40B4-BE49-F238E27FC236}">
              <a16:creationId xmlns:a16="http://schemas.microsoft.com/office/drawing/2014/main" id="{3845050B-5B69-4AFD-BFF3-A40DA94F5738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82" name="Host Control  5">
          <a:extLst>
            <a:ext uri="{FF2B5EF4-FFF2-40B4-BE49-F238E27FC236}">
              <a16:creationId xmlns:a16="http://schemas.microsoft.com/office/drawing/2014/main" id="{BEE56F89-6127-4950-BFE9-732465B97C6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83" name="Host Control  6">
          <a:extLst>
            <a:ext uri="{FF2B5EF4-FFF2-40B4-BE49-F238E27FC236}">
              <a16:creationId xmlns:a16="http://schemas.microsoft.com/office/drawing/2014/main" id="{46179473-C727-49EE-9276-06E9AEF8B9B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84" name="Host Control  7">
          <a:extLst>
            <a:ext uri="{FF2B5EF4-FFF2-40B4-BE49-F238E27FC236}">
              <a16:creationId xmlns:a16="http://schemas.microsoft.com/office/drawing/2014/main" id="{B5E6831A-32E3-4B7C-ACC4-6FF8A541BBCF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85" name="Host Control  12">
          <a:extLst>
            <a:ext uri="{FF2B5EF4-FFF2-40B4-BE49-F238E27FC236}">
              <a16:creationId xmlns:a16="http://schemas.microsoft.com/office/drawing/2014/main" id="{17B50D19-154B-4991-BD75-E08D50B98D3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86" name="Host Control  13">
          <a:extLst>
            <a:ext uri="{FF2B5EF4-FFF2-40B4-BE49-F238E27FC236}">
              <a16:creationId xmlns:a16="http://schemas.microsoft.com/office/drawing/2014/main" id="{2A9BFF2B-9B6A-44C3-8D93-D118A3DE815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87" name="Host Control  14">
          <a:extLst>
            <a:ext uri="{FF2B5EF4-FFF2-40B4-BE49-F238E27FC236}">
              <a16:creationId xmlns:a16="http://schemas.microsoft.com/office/drawing/2014/main" id="{4A10A1F7-3161-4F8E-8388-4F22292786D2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88" name="Host Control  16">
          <a:extLst>
            <a:ext uri="{FF2B5EF4-FFF2-40B4-BE49-F238E27FC236}">
              <a16:creationId xmlns:a16="http://schemas.microsoft.com/office/drawing/2014/main" id="{81910577-1F32-47A5-86A1-C9F05788F59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89" name="Host Control  17">
          <a:extLst>
            <a:ext uri="{FF2B5EF4-FFF2-40B4-BE49-F238E27FC236}">
              <a16:creationId xmlns:a16="http://schemas.microsoft.com/office/drawing/2014/main" id="{7B804A74-75AE-4E1D-BC5B-5FAA07FD531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90" name="Host Control  18">
          <a:extLst>
            <a:ext uri="{FF2B5EF4-FFF2-40B4-BE49-F238E27FC236}">
              <a16:creationId xmlns:a16="http://schemas.microsoft.com/office/drawing/2014/main" id="{C81C495B-6F07-4484-BBEB-92B25D9C257D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91" name="Host Control  20">
          <a:extLst>
            <a:ext uri="{FF2B5EF4-FFF2-40B4-BE49-F238E27FC236}">
              <a16:creationId xmlns:a16="http://schemas.microsoft.com/office/drawing/2014/main" id="{782C1213-BAD3-476C-9D4F-4BBB47CECBA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92" name="Host Control  21">
          <a:extLst>
            <a:ext uri="{FF2B5EF4-FFF2-40B4-BE49-F238E27FC236}">
              <a16:creationId xmlns:a16="http://schemas.microsoft.com/office/drawing/2014/main" id="{D9246E6F-8A9D-4423-9DA0-00E05838B8C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93" name="Host Control  22">
          <a:extLst>
            <a:ext uri="{FF2B5EF4-FFF2-40B4-BE49-F238E27FC236}">
              <a16:creationId xmlns:a16="http://schemas.microsoft.com/office/drawing/2014/main" id="{C8700AEB-9111-4D28-B13D-24A99C68DCDE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94" name="Host Control  24">
          <a:extLst>
            <a:ext uri="{FF2B5EF4-FFF2-40B4-BE49-F238E27FC236}">
              <a16:creationId xmlns:a16="http://schemas.microsoft.com/office/drawing/2014/main" id="{DD69694D-BCE5-4F18-A8ED-37251CE2A9D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95" name="Host Control  25">
          <a:extLst>
            <a:ext uri="{FF2B5EF4-FFF2-40B4-BE49-F238E27FC236}">
              <a16:creationId xmlns:a16="http://schemas.microsoft.com/office/drawing/2014/main" id="{FCC31336-E7A2-4332-82DD-5FDA93DB32A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96" name="Host Control  26">
          <a:extLst>
            <a:ext uri="{FF2B5EF4-FFF2-40B4-BE49-F238E27FC236}">
              <a16:creationId xmlns:a16="http://schemas.microsoft.com/office/drawing/2014/main" id="{BF4B62A7-DEBF-4DD6-AC1A-45E13927BC00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97" name="Host Control  28">
          <a:extLst>
            <a:ext uri="{FF2B5EF4-FFF2-40B4-BE49-F238E27FC236}">
              <a16:creationId xmlns:a16="http://schemas.microsoft.com/office/drawing/2014/main" id="{940870F5-7C1C-411F-9AF7-A48E7D9E298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198" name="Host Control  29">
          <a:extLst>
            <a:ext uri="{FF2B5EF4-FFF2-40B4-BE49-F238E27FC236}">
              <a16:creationId xmlns:a16="http://schemas.microsoft.com/office/drawing/2014/main" id="{1705C150-A218-4395-9240-008C07185DC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199" name="Host Control  30">
          <a:extLst>
            <a:ext uri="{FF2B5EF4-FFF2-40B4-BE49-F238E27FC236}">
              <a16:creationId xmlns:a16="http://schemas.microsoft.com/office/drawing/2014/main" id="{CC873B3C-0989-41EC-82C3-05C02E4BBE5F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00" name="Host Control  32">
          <a:extLst>
            <a:ext uri="{FF2B5EF4-FFF2-40B4-BE49-F238E27FC236}">
              <a16:creationId xmlns:a16="http://schemas.microsoft.com/office/drawing/2014/main" id="{B7633FF9-ACA9-474E-B0DC-C5BE59824F0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01" name="Host Control  33">
          <a:extLst>
            <a:ext uri="{FF2B5EF4-FFF2-40B4-BE49-F238E27FC236}">
              <a16:creationId xmlns:a16="http://schemas.microsoft.com/office/drawing/2014/main" id="{B0DA094B-9FF7-4B4B-AF0F-00B881E1B90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02" name="Host Control  34">
          <a:extLst>
            <a:ext uri="{FF2B5EF4-FFF2-40B4-BE49-F238E27FC236}">
              <a16:creationId xmlns:a16="http://schemas.microsoft.com/office/drawing/2014/main" id="{7E2232BA-A7FB-469B-9B78-ED5A89EC9FFA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03" name="Host Control  36">
          <a:extLst>
            <a:ext uri="{FF2B5EF4-FFF2-40B4-BE49-F238E27FC236}">
              <a16:creationId xmlns:a16="http://schemas.microsoft.com/office/drawing/2014/main" id="{23110045-CC1B-4AD7-8CE7-451788241CA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04" name="Host Control  37">
          <a:extLst>
            <a:ext uri="{FF2B5EF4-FFF2-40B4-BE49-F238E27FC236}">
              <a16:creationId xmlns:a16="http://schemas.microsoft.com/office/drawing/2014/main" id="{431D4CEE-1CD7-4D54-AF95-A5EA6FED1BF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05" name="Host Control  38">
          <a:extLst>
            <a:ext uri="{FF2B5EF4-FFF2-40B4-BE49-F238E27FC236}">
              <a16:creationId xmlns:a16="http://schemas.microsoft.com/office/drawing/2014/main" id="{99E265FF-49E5-4D94-910D-EED402597B1F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06" name="Host Control  40">
          <a:extLst>
            <a:ext uri="{FF2B5EF4-FFF2-40B4-BE49-F238E27FC236}">
              <a16:creationId xmlns:a16="http://schemas.microsoft.com/office/drawing/2014/main" id="{57D0238A-2DE5-45F5-93E1-8F6A58D5F0E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07" name="Host Control  41">
          <a:extLst>
            <a:ext uri="{FF2B5EF4-FFF2-40B4-BE49-F238E27FC236}">
              <a16:creationId xmlns:a16="http://schemas.microsoft.com/office/drawing/2014/main" id="{3570D27A-760D-4B89-9E46-94D3D96CBA4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08" name="Host Control  42">
          <a:extLst>
            <a:ext uri="{FF2B5EF4-FFF2-40B4-BE49-F238E27FC236}">
              <a16:creationId xmlns:a16="http://schemas.microsoft.com/office/drawing/2014/main" id="{5E69E6D5-9E75-4651-8451-2A8A423EF45B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09" name="Host Control  44">
          <a:extLst>
            <a:ext uri="{FF2B5EF4-FFF2-40B4-BE49-F238E27FC236}">
              <a16:creationId xmlns:a16="http://schemas.microsoft.com/office/drawing/2014/main" id="{4D059DB8-E553-4FB5-B83F-524F128C5B2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10" name="Host Control  45">
          <a:extLst>
            <a:ext uri="{FF2B5EF4-FFF2-40B4-BE49-F238E27FC236}">
              <a16:creationId xmlns:a16="http://schemas.microsoft.com/office/drawing/2014/main" id="{E31B4826-32DC-4535-8F8A-18AF43B0E45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11" name="Host Control  46">
          <a:extLst>
            <a:ext uri="{FF2B5EF4-FFF2-40B4-BE49-F238E27FC236}">
              <a16:creationId xmlns:a16="http://schemas.microsoft.com/office/drawing/2014/main" id="{D1478A57-1476-4172-9805-C836BF32974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12" name="Host Control  5">
          <a:extLst>
            <a:ext uri="{FF2B5EF4-FFF2-40B4-BE49-F238E27FC236}">
              <a16:creationId xmlns:a16="http://schemas.microsoft.com/office/drawing/2014/main" id="{D07930EF-B3BC-42FF-B01E-E4D58CED390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13" name="Host Control  6">
          <a:extLst>
            <a:ext uri="{FF2B5EF4-FFF2-40B4-BE49-F238E27FC236}">
              <a16:creationId xmlns:a16="http://schemas.microsoft.com/office/drawing/2014/main" id="{BD4E4A13-0970-4A3D-BB10-98B966E9BEBE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14" name="Host Control  7">
          <a:extLst>
            <a:ext uri="{FF2B5EF4-FFF2-40B4-BE49-F238E27FC236}">
              <a16:creationId xmlns:a16="http://schemas.microsoft.com/office/drawing/2014/main" id="{F9F02078-FEE7-4A33-81C7-2D0B851A3D66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15" name="Host Control  12">
          <a:extLst>
            <a:ext uri="{FF2B5EF4-FFF2-40B4-BE49-F238E27FC236}">
              <a16:creationId xmlns:a16="http://schemas.microsoft.com/office/drawing/2014/main" id="{EAC56798-7AB6-48A0-9AFD-0827B44B1FD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16" name="Host Control  13">
          <a:extLst>
            <a:ext uri="{FF2B5EF4-FFF2-40B4-BE49-F238E27FC236}">
              <a16:creationId xmlns:a16="http://schemas.microsoft.com/office/drawing/2014/main" id="{8D506C4C-40CF-450B-A13C-A505A98C8B01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17" name="Host Control  14">
          <a:extLst>
            <a:ext uri="{FF2B5EF4-FFF2-40B4-BE49-F238E27FC236}">
              <a16:creationId xmlns:a16="http://schemas.microsoft.com/office/drawing/2014/main" id="{4F77DAC3-46B9-47C9-847E-280E3A8DFB74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18" name="Host Control  16">
          <a:extLst>
            <a:ext uri="{FF2B5EF4-FFF2-40B4-BE49-F238E27FC236}">
              <a16:creationId xmlns:a16="http://schemas.microsoft.com/office/drawing/2014/main" id="{321E6348-B131-4964-A891-B936D6395E5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19" name="Host Control  17">
          <a:extLst>
            <a:ext uri="{FF2B5EF4-FFF2-40B4-BE49-F238E27FC236}">
              <a16:creationId xmlns:a16="http://schemas.microsoft.com/office/drawing/2014/main" id="{D143F233-8DAB-4096-B0E7-F840F3389805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20" name="Host Control  18">
          <a:extLst>
            <a:ext uri="{FF2B5EF4-FFF2-40B4-BE49-F238E27FC236}">
              <a16:creationId xmlns:a16="http://schemas.microsoft.com/office/drawing/2014/main" id="{21BDB622-A697-4D98-9F2C-1A820B5E5E57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21" name="Host Control  20">
          <a:extLst>
            <a:ext uri="{FF2B5EF4-FFF2-40B4-BE49-F238E27FC236}">
              <a16:creationId xmlns:a16="http://schemas.microsoft.com/office/drawing/2014/main" id="{037656D2-3B90-4FCD-8450-C9DA8E14F39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22" name="Host Control  21">
          <a:extLst>
            <a:ext uri="{FF2B5EF4-FFF2-40B4-BE49-F238E27FC236}">
              <a16:creationId xmlns:a16="http://schemas.microsoft.com/office/drawing/2014/main" id="{1DEBDE8E-C155-4460-86D4-CF5D332A3B51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23" name="Host Control  22">
          <a:extLst>
            <a:ext uri="{FF2B5EF4-FFF2-40B4-BE49-F238E27FC236}">
              <a16:creationId xmlns:a16="http://schemas.microsoft.com/office/drawing/2014/main" id="{12E98034-8A42-47DB-AF5F-093443842439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24" name="Host Control  24">
          <a:extLst>
            <a:ext uri="{FF2B5EF4-FFF2-40B4-BE49-F238E27FC236}">
              <a16:creationId xmlns:a16="http://schemas.microsoft.com/office/drawing/2014/main" id="{93F8CF80-A5F4-4C46-8149-347ECBB6108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25" name="Host Control  25">
          <a:extLst>
            <a:ext uri="{FF2B5EF4-FFF2-40B4-BE49-F238E27FC236}">
              <a16:creationId xmlns:a16="http://schemas.microsoft.com/office/drawing/2014/main" id="{15F57649-6BFE-4BE6-8A32-EE2B4E0BC9D8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26" name="Host Control  26">
          <a:extLst>
            <a:ext uri="{FF2B5EF4-FFF2-40B4-BE49-F238E27FC236}">
              <a16:creationId xmlns:a16="http://schemas.microsoft.com/office/drawing/2014/main" id="{770B2F7C-A474-4E9E-B892-ED4C8C162441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27" name="Host Control  28">
          <a:extLst>
            <a:ext uri="{FF2B5EF4-FFF2-40B4-BE49-F238E27FC236}">
              <a16:creationId xmlns:a16="http://schemas.microsoft.com/office/drawing/2014/main" id="{AC31541F-634B-4444-A349-50F13F4B380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28" name="Host Control  29">
          <a:extLst>
            <a:ext uri="{FF2B5EF4-FFF2-40B4-BE49-F238E27FC236}">
              <a16:creationId xmlns:a16="http://schemas.microsoft.com/office/drawing/2014/main" id="{BD1CCFF9-1807-4D00-B982-1E2BF7D275F1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29" name="Host Control  30">
          <a:extLst>
            <a:ext uri="{FF2B5EF4-FFF2-40B4-BE49-F238E27FC236}">
              <a16:creationId xmlns:a16="http://schemas.microsoft.com/office/drawing/2014/main" id="{861108E4-472E-41DD-ABB0-A23ED80122E1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30" name="Host Control  32">
          <a:extLst>
            <a:ext uri="{FF2B5EF4-FFF2-40B4-BE49-F238E27FC236}">
              <a16:creationId xmlns:a16="http://schemas.microsoft.com/office/drawing/2014/main" id="{68235169-8156-4FF0-9030-786E1DECC4B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31" name="Host Control  33">
          <a:extLst>
            <a:ext uri="{FF2B5EF4-FFF2-40B4-BE49-F238E27FC236}">
              <a16:creationId xmlns:a16="http://schemas.microsoft.com/office/drawing/2014/main" id="{39B6F780-0615-4089-9564-6494A3357249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32" name="Host Control  34">
          <a:extLst>
            <a:ext uri="{FF2B5EF4-FFF2-40B4-BE49-F238E27FC236}">
              <a16:creationId xmlns:a16="http://schemas.microsoft.com/office/drawing/2014/main" id="{D6770EFE-AC9B-4E88-A953-1F699C37134D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33" name="Host Control  36">
          <a:extLst>
            <a:ext uri="{FF2B5EF4-FFF2-40B4-BE49-F238E27FC236}">
              <a16:creationId xmlns:a16="http://schemas.microsoft.com/office/drawing/2014/main" id="{7345D731-CB67-489A-B381-B1D2937CB25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34" name="Host Control  37">
          <a:extLst>
            <a:ext uri="{FF2B5EF4-FFF2-40B4-BE49-F238E27FC236}">
              <a16:creationId xmlns:a16="http://schemas.microsoft.com/office/drawing/2014/main" id="{AB5801C7-62F2-4B91-A7E8-2EF2A7DE7113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35" name="Host Control  38">
          <a:extLst>
            <a:ext uri="{FF2B5EF4-FFF2-40B4-BE49-F238E27FC236}">
              <a16:creationId xmlns:a16="http://schemas.microsoft.com/office/drawing/2014/main" id="{ACC879DA-D48B-4508-AD39-9AD0389CB1C2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36" name="Host Control  40">
          <a:extLst>
            <a:ext uri="{FF2B5EF4-FFF2-40B4-BE49-F238E27FC236}">
              <a16:creationId xmlns:a16="http://schemas.microsoft.com/office/drawing/2014/main" id="{1AC2F8CE-8EF4-4C7E-BFC5-94E795D8E3C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37" name="Host Control  41">
          <a:extLst>
            <a:ext uri="{FF2B5EF4-FFF2-40B4-BE49-F238E27FC236}">
              <a16:creationId xmlns:a16="http://schemas.microsoft.com/office/drawing/2014/main" id="{90537CF7-4CE3-4BBD-B869-E4DCC06100AF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38" name="Host Control  42">
          <a:extLst>
            <a:ext uri="{FF2B5EF4-FFF2-40B4-BE49-F238E27FC236}">
              <a16:creationId xmlns:a16="http://schemas.microsoft.com/office/drawing/2014/main" id="{BD3EA0AF-2545-4BAB-B0D9-D6DCC1B83530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39" name="Host Control  44">
          <a:extLst>
            <a:ext uri="{FF2B5EF4-FFF2-40B4-BE49-F238E27FC236}">
              <a16:creationId xmlns:a16="http://schemas.microsoft.com/office/drawing/2014/main" id="{8B6B7FA9-D32A-472B-9D1B-F9B4935AF33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40" name="Host Control  45">
          <a:extLst>
            <a:ext uri="{FF2B5EF4-FFF2-40B4-BE49-F238E27FC236}">
              <a16:creationId xmlns:a16="http://schemas.microsoft.com/office/drawing/2014/main" id="{7EA34B5D-1599-42B9-9D59-C90EC2B61129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41" name="Host Control  46">
          <a:extLst>
            <a:ext uri="{FF2B5EF4-FFF2-40B4-BE49-F238E27FC236}">
              <a16:creationId xmlns:a16="http://schemas.microsoft.com/office/drawing/2014/main" id="{47283657-8560-4A6A-ADA5-09F4FDDF1B45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42" name="Host Control  5">
          <a:extLst>
            <a:ext uri="{FF2B5EF4-FFF2-40B4-BE49-F238E27FC236}">
              <a16:creationId xmlns:a16="http://schemas.microsoft.com/office/drawing/2014/main" id="{9474675F-4167-457F-A36E-7F78D392228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43" name="Host Control  6">
          <a:extLst>
            <a:ext uri="{FF2B5EF4-FFF2-40B4-BE49-F238E27FC236}">
              <a16:creationId xmlns:a16="http://schemas.microsoft.com/office/drawing/2014/main" id="{17A5CB40-6F87-4059-87B4-6AF5F7585D2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44" name="Host Control  7">
          <a:extLst>
            <a:ext uri="{FF2B5EF4-FFF2-40B4-BE49-F238E27FC236}">
              <a16:creationId xmlns:a16="http://schemas.microsoft.com/office/drawing/2014/main" id="{51AA91A2-1152-4B58-9590-E5F8B633E741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45" name="Host Control  12">
          <a:extLst>
            <a:ext uri="{FF2B5EF4-FFF2-40B4-BE49-F238E27FC236}">
              <a16:creationId xmlns:a16="http://schemas.microsoft.com/office/drawing/2014/main" id="{A27D2E4A-24EC-4DCF-A9FA-E844412291E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46" name="Host Control  13">
          <a:extLst>
            <a:ext uri="{FF2B5EF4-FFF2-40B4-BE49-F238E27FC236}">
              <a16:creationId xmlns:a16="http://schemas.microsoft.com/office/drawing/2014/main" id="{101634AD-5763-4946-AF63-1CFAB7A4C6E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47" name="Host Control  14">
          <a:extLst>
            <a:ext uri="{FF2B5EF4-FFF2-40B4-BE49-F238E27FC236}">
              <a16:creationId xmlns:a16="http://schemas.microsoft.com/office/drawing/2014/main" id="{DDB5AD30-B9DC-41D3-9599-C1F9E9820980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48" name="Host Control  16">
          <a:extLst>
            <a:ext uri="{FF2B5EF4-FFF2-40B4-BE49-F238E27FC236}">
              <a16:creationId xmlns:a16="http://schemas.microsoft.com/office/drawing/2014/main" id="{79DD6A94-1CEF-4726-8CE1-03C62B5A4EC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49" name="Host Control  17">
          <a:extLst>
            <a:ext uri="{FF2B5EF4-FFF2-40B4-BE49-F238E27FC236}">
              <a16:creationId xmlns:a16="http://schemas.microsoft.com/office/drawing/2014/main" id="{03D17D61-F8E6-4477-B3B3-32236C71106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50" name="Host Control  18">
          <a:extLst>
            <a:ext uri="{FF2B5EF4-FFF2-40B4-BE49-F238E27FC236}">
              <a16:creationId xmlns:a16="http://schemas.microsoft.com/office/drawing/2014/main" id="{89E94BAF-6979-4F40-BDB1-B39BEE52B31E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51" name="Host Control  20">
          <a:extLst>
            <a:ext uri="{FF2B5EF4-FFF2-40B4-BE49-F238E27FC236}">
              <a16:creationId xmlns:a16="http://schemas.microsoft.com/office/drawing/2014/main" id="{C9B71B38-9BA2-48A6-BCCC-F3BD5B30EB3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52" name="Host Control  21">
          <a:extLst>
            <a:ext uri="{FF2B5EF4-FFF2-40B4-BE49-F238E27FC236}">
              <a16:creationId xmlns:a16="http://schemas.microsoft.com/office/drawing/2014/main" id="{79398470-6446-4FE2-A6E8-FAAE676C85A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53" name="Host Control  22">
          <a:extLst>
            <a:ext uri="{FF2B5EF4-FFF2-40B4-BE49-F238E27FC236}">
              <a16:creationId xmlns:a16="http://schemas.microsoft.com/office/drawing/2014/main" id="{9CC70020-947B-465C-BF9C-AADD8AC9DC10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54" name="Host Control  24">
          <a:extLst>
            <a:ext uri="{FF2B5EF4-FFF2-40B4-BE49-F238E27FC236}">
              <a16:creationId xmlns:a16="http://schemas.microsoft.com/office/drawing/2014/main" id="{BA2724D1-010B-43F8-90D3-2E50BCACF26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55" name="Host Control  25">
          <a:extLst>
            <a:ext uri="{FF2B5EF4-FFF2-40B4-BE49-F238E27FC236}">
              <a16:creationId xmlns:a16="http://schemas.microsoft.com/office/drawing/2014/main" id="{1A2D248E-DE1A-4742-A949-4D5AACE2390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56" name="Host Control  26">
          <a:extLst>
            <a:ext uri="{FF2B5EF4-FFF2-40B4-BE49-F238E27FC236}">
              <a16:creationId xmlns:a16="http://schemas.microsoft.com/office/drawing/2014/main" id="{B58B72B4-AB07-43D0-8848-F963156931E9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57" name="Host Control  28">
          <a:extLst>
            <a:ext uri="{FF2B5EF4-FFF2-40B4-BE49-F238E27FC236}">
              <a16:creationId xmlns:a16="http://schemas.microsoft.com/office/drawing/2014/main" id="{CDA850C8-104A-4083-AF66-25F66DC1183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58" name="Host Control  29">
          <a:extLst>
            <a:ext uri="{FF2B5EF4-FFF2-40B4-BE49-F238E27FC236}">
              <a16:creationId xmlns:a16="http://schemas.microsoft.com/office/drawing/2014/main" id="{B305D11D-B4CF-4F89-B762-5FC1B4B36C9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59" name="Host Control  30">
          <a:extLst>
            <a:ext uri="{FF2B5EF4-FFF2-40B4-BE49-F238E27FC236}">
              <a16:creationId xmlns:a16="http://schemas.microsoft.com/office/drawing/2014/main" id="{C0D25BE6-BC78-4F04-A187-2BCFBF5D1F51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60" name="Host Control  32">
          <a:extLst>
            <a:ext uri="{FF2B5EF4-FFF2-40B4-BE49-F238E27FC236}">
              <a16:creationId xmlns:a16="http://schemas.microsoft.com/office/drawing/2014/main" id="{A5B74F9F-98F0-4DA7-AE47-68C45E1C09E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61" name="Host Control  33">
          <a:extLst>
            <a:ext uri="{FF2B5EF4-FFF2-40B4-BE49-F238E27FC236}">
              <a16:creationId xmlns:a16="http://schemas.microsoft.com/office/drawing/2014/main" id="{C594CDC2-A364-4772-B19E-D9D2016B267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62" name="Host Control  34">
          <a:extLst>
            <a:ext uri="{FF2B5EF4-FFF2-40B4-BE49-F238E27FC236}">
              <a16:creationId xmlns:a16="http://schemas.microsoft.com/office/drawing/2014/main" id="{9D746ECE-E10F-4D35-9480-44C53CDF0CB2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63" name="Host Control  36">
          <a:extLst>
            <a:ext uri="{FF2B5EF4-FFF2-40B4-BE49-F238E27FC236}">
              <a16:creationId xmlns:a16="http://schemas.microsoft.com/office/drawing/2014/main" id="{66F69643-0ADE-47D3-A8E1-FA5A12123D0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64" name="Host Control  37">
          <a:extLst>
            <a:ext uri="{FF2B5EF4-FFF2-40B4-BE49-F238E27FC236}">
              <a16:creationId xmlns:a16="http://schemas.microsoft.com/office/drawing/2014/main" id="{2F03C111-05B1-4689-9BAB-309702B8566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65" name="Host Control  38">
          <a:extLst>
            <a:ext uri="{FF2B5EF4-FFF2-40B4-BE49-F238E27FC236}">
              <a16:creationId xmlns:a16="http://schemas.microsoft.com/office/drawing/2014/main" id="{54724C40-E6C3-4F24-BD22-496EE531018F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66" name="Host Control  40">
          <a:extLst>
            <a:ext uri="{FF2B5EF4-FFF2-40B4-BE49-F238E27FC236}">
              <a16:creationId xmlns:a16="http://schemas.microsoft.com/office/drawing/2014/main" id="{DFE13CBC-593D-4BD4-B3F1-B146F2E3DBF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67" name="Host Control  41">
          <a:extLst>
            <a:ext uri="{FF2B5EF4-FFF2-40B4-BE49-F238E27FC236}">
              <a16:creationId xmlns:a16="http://schemas.microsoft.com/office/drawing/2014/main" id="{164E1B34-9882-4516-8CEB-241AF478F5E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68" name="Host Control  42">
          <a:extLst>
            <a:ext uri="{FF2B5EF4-FFF2-40B4-BE49-F238E27FC236}">
              <a16:creationId xmlns:a16="http://schemas.microsoft.com/office/drawing/2014/main" id="{81B88EDA-B560-4A9F-BD77-44B4CA41FAA3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69" name="Host Control  44">
          <a:extLst>
            <a:ext uri="{FF2B5EF4-FFF2-40B4-BE49-F238E27FC236}">
              <a16:creationId xmlns:a16="http://schemas.microsoft.com/office/drawing/2014/main" id="{24408352-310B-4223-82DD-C3E2340A696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70" name="Host Control  45">
          <a:extLst>
            <a:ext uri="{FF2B5EF4-FFF2-40B4-BE49-F238E27FC236}">
              <a16:creationId xmlns:a16="http://schemas.microsoft.com/office/drawing/2014/main" id="{4D79B77A-C214-4D2D-A4F2-06CD792967C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271" name="Host Control  46">
          <a:extLst>
            <a:ext uri="{FF2B5EF4-FFF2-40B4-BE49-F238E27FC236}">
              <a16:creationId xmlns:a16="http://schemas.microsoft.com/office/drawing/2014/main" id="{D0F86CAA-3E58-4D6B-A6F8-5DEF02F8FEBF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72" name="Host Control  5">
          <a:extLst>
            <a:ext uri="{FF2B5EF4-FFF2-40B4-BE49-F238E27FC236}">
              <a16:creationId xmlns:a16="http://schemas.microsoft.com/office/drawing/2014/main" id="{C380768B-F012-44DF-8010-F21CA04567D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73" name="Host Control  6">
          <a:extLst>
            <a:ext uri="{FF2B5EF4-FFF2-40B4-BE49-F238E27FC236}">
              <a16:creationId xmlns:a16="http://schemas.microsoft.com/office/drawing/2014/main" id="{85242FEC-F82E-4B3F-B3FB-83B47B777C73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74" name="Host Control  7">
          <a:extLst>
            <a:ext uri="{FF2B5EF4-FFF2-40B4-BE49-F238E27FC236}">
              <a16:creationId xmlns:a16="http://schemas.microsoft.com/office/drawing/2014/main" id="{4E979931-B63D-4153-9821-06BA3F2097DD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75" name="Host Control  12">
          <a:extLst>
            <a:ext uri="{FF2B5EF4-FFF2-40B4-BE49-F238E27FC236}">
              <a16:creationId xmlns:a16="http://schemas.microsoft.com/office/drawing/2014/main" id="{9A377B94-786F-46DC-BEE7-F2AE71F827D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76" name="Host Control  13">
          <a:extLst>
            <a:ext uri="{FF2B5EF4-FFF2-40B4-BE49-F238E27FC236}">
              <a16:creationId xmlns:a16="http://schemas.microsoft.com/office/drawing/2014/main" id="{D6B87C15-45B7-4D86-88B7-3DE33D07A95B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77" name="Host Control  14">
          <a:extLst>
            <a:ext uri="{FF2B5EF4-FFF2-40B4-BE49-F238E27FC236}">
              <a16:creationId xmlns:a16="http://schemas.microsoft.com/office/drawing/2014/main" id="{7EA47A54-969D-423F-81F7-51897D8D88DE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78" name="Host Control  16">
          <a:extLst>
            <a:ext uri="{FF2B5EF4-FFF2-40B4-BE49-F238E27FC236}">
              <a16:creationId xmlns:a16="http://schemas.microsoft.com/office/drawing/2014/main" id="{0CFF3384-9E4D-4F87-9B7B-F11F6BF1122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79" name="Host Control  17">
          <a:extLst>
            <a:ext uri="{FF2B5EF4-FFF2-40B4-BE49-F238E27FC236}">
              <a16:creationId xmlns:a16="http://schemas.microsoft.com/office/drawing/2014/main" id="{BAE1499A-0A67-4335-B34C-998A78F7597E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80" name="Host Control  18">
          <a:extLst>
            <a:ext uri="{FF2B5EF4-FFF2-40B4-BE49-F238E27FC236}">
              <a16:creationId xmlns:a16="http://schemas.microsoft.com/office/drawing/2014/main" id="{F6905D28-5E3B-4D5A-9448-BF61C841A1E2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81" name="Host Control  20">
          <a:extLst>
            <a:ext uri="{FF2B5EF4-FFF2-40B4-BE49-F238E27FC236}">
              <a16:creationId xmlns:a16="http://schemas.microsoft.com/office/drawing/2014/main" id="{43DAD230-40C6-4775-A7B9-6028F37C630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82" name="Host Control  21">
          <a:extLst>
            <a:ext uri="{FF2B5EF4-FFF2-40B4-BE49-F238E27FC236}">
              <a16:creationId xmlns:a16="http://schemas.microsoft.com/office/drawing/2014/main" id="{FA109366-C5A6-4AD8-9319-BD2FD9938726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83" name="Host Control  22">
          <a:extLst>
            <a:ext uri="{FF2B5EF4-FFF2-40B4-BE49-F238E27FC236}">
              <a16:creationId xmlns:a16="http://schemas.microsoft.com/office/drawing/2014/main" id="{87933F63-2423-464F-AF02-B7A16F13D38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84" name="Host Control  24">
          <a:extLst>
            <a:ext uri="{FF2B5EF4-FFF2-40B4-BE49-F238E27FC236}">
              <a16:creationId xmlns:a16="http://schemas.microsoft.com/office/drawing/2014/main" id="{EA32567B-83BB-43A4-BCD9-87A22EDDDEF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85" name="Host Control  25">
          <a:extLst>
            <a:ext uri="{FF2B5EF4-FFF2-40B4-BE49-F238E27FC236}">
              <a16:creationId xmlns:a16="http://schemas.microsoft.com/office/drawing/2014/main" id="{1C255726-BB99-4E11-A8D3-F1028C69102E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86" name="Host Control  26">
          <a:extLst>
            <a:ext uri="{FF2B5EF4-FFF2-40B4-BE49-F238E27FC236}">
              <a16:creationId xmlns:a16="http://schemas.microsoft.com/office/drawing/2014/main" id="{1D648823-ADB2-499B-B3E8-EBB61A9C01BE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87" name="Host Control  28">
          <a:extLst>
            <a:ext uri="{FF2B5EF4-FFF2-40B4-BE49-F238E27FC236}">
              <a16:creationId xmlns:a16="http://schemas.microsoft.com/office/drawing/2014/main" id="{159E308C-FAEA-482C-BCD0-132583D0041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88" name="Host Control  29">
          <a:extLst>
            <a:ext uri="{FF2B5EF4-FFF2-40B4-BE49-F238E27FC236}">
              <a16:creationId xmlns:a16="http://schemas.microsoft.com/office/drawing/2014/main" id="{394B58AA-6F0B-465A-A26C-4CD01CD68CE0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89" name="Host Control  30">
          <a:extLst>
            <a:ext uri="{FF2B5EF4-FFF2-40B4-BE49-F238E27FC236}">
              <a16:creationId xmlns:a16="http://schemas.microsoft.com/office/drawing/2014/main" id="{30198FF3-5400-4BEC-80F8-1231B222D7AC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90" name="Host Control  32">
          <a:extLst>
            <a:ext uri="{FF2B5EF4-FFF2-40B4-BE49-F238E27FC236}">
              <a16:creationId xmlns:a16="http://schemas.microsoft.com/office/drawing/2014/main" id="{38158975-2662-4D4F-92E7-4E8F4BFFCF0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91" name="Host Control  33">
          <a:extLst>
            <a:ext uri="{FF2B5EF4-FFF2-40B4-BE49-F238E27FC236}">
              <a16:creationId xmlns:a16="http://schemas.microsoft.com/office/drawing/2014/main" id="{00BC6C45-03CB-4E09-83CC-EBD162972513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92" name="Host Control  34">
          <a:extLst>
            <a:ext uri="{FF2B5EF4-FFF2-40B4-BE49-F238E27FC236}">
              <a16:creationId xmlns:a16="http://schemas.microsoft.com/office/drawing/2014/main" id="{1994FC22-8274-4D85-859D-4A4A034D3B45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93" name="Host Control  36">
          <a:extLst>
            <a:ext uri="{FF2B5EF4-FFF2-40B4-BE49-F238E27FC236}">
              <a16:creationId xmlns:a16="http://schemas.microsoft.com/office/drawing/2014/main" id="{22C504B3-6E6C-4090-A5BC-BEF2FFC0502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94" name="Host Control  37">
          <a:extLst>
            <a:ext uri="{FF2B5EF4-FFF2-40B4-BE49-F238E27FC236}">
              <a16:creationId xmlns:a16="http://schemas.microsoft.com/office/drawing/2014/main" id="{49E84EF8-2558-4401-9B86-5E4EA2950808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95" name="Host Control  38">
          <a:extLst>
            <a:ext uri="{FF2B5EF4-FFF2-40B4-BE49-F238E27FC236}">
              <a16:creationId xmlns:a16="http://schemas.microsoft.com/office/drawing/2014/main" id="{90ED1793-B442-4653-AF28-5E2A600837E9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96" name="Host Control  40">
          <a:extLst>
            <a:ext uri="{FF2B5EF4-FFF2-40B4-BE49-F238E27FC236}">
              <a16:creationId xmlns:a16="http://schemas.microsoft.com/office/drawing/2014/main" id="{ED2221A3-91A1-4120-8D40-C5C361C6BA2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297" name="Host Control  41">
          <a:extLst>
            <a:ext uri="{FF2B5EF4-FFF2-40B4-BE49-F238E27FC236}">
              <a16:creationId xmlns:a16="http://schemas.microsoft.com/office/drawing/2014/main" id="{E9769314-1CC0-4D94-8061-C261EC34DBE8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298" name="Host Control  42">
          <a:extLst>
            <a:ext uri="{FF2B5EF4-FFF2-40B4-BE49-F238E27FC236}">
              <a16:creationId xmlns:a16="http://schemas.microsoft.com/office/drawing/2014/main" id="{F07AF6C5-82D3-4CC6-B275-7CC7C7995A58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299" name="Host Control  44">
          <a:extLst>
            <a:ext uri="{FF2B5EF4-FFF2-40B4-BE49-F238E27FC236}">
              <a16:creationId xmlns:a16="http://schemas.microsoft.com/office/drawing/2014/main" id="{9781A649-9FBE-472F-8A05-074607C62F1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00" name="Host Control  45">
          <a:extLst>
            <a:ext uri="{FF2B5EF4-FFF2-40B4-BE49-F238E27FC236}">
              <a16:creationId xmlns:a16="http://schemas.microsoft.com/office/drawing/2014/main" id="{CCB24819-0B60-4E86-BC44-447AC8EC6987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01" name="Host Control  46">
          <a:extLst>
            <a:ext uri="{FF2B5EF4-FFF2-40B4-BE49-F238E27FC236}">
              <a16:creationId xmlns:a16="http://schemas.microsoft.com/office/drawing/2014/main" id="{4FA6831A-EDDC-46A0-A29E-CE27EF5D4FA0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02" name="Host Control  5">
          <a:extLst>
            <a:ext uri="{FF2B5EF4-FFF2-40B4-BE49-F238E27FC236}">
              <a16:creationId xmlns:a16="http://schemas.microsoft.com/office/drawing/2014/main" id="{CF09C5BF-3C0D-43DC-A743-FBBF1D6A19E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03" name="Host Control  6">
          <a:extLst>
            <a:ext uri="{FF2B5EF4-FFF2-40B4-BE49-F238E27FC236}">
              <a16:creationId xmlns:a16="http://schemas.microsoft.com/office/drawing/2014/main" id="{7E082AB7-2DD8-4C23-8C2E-9B283CAD585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04" name="Host Control  7">
          <a:extLst>
            <a:ext uri="{FF2B5EF4-FFF2-40B4-BE49-F238E27FC236}">
              <a16:creationId xmlns:a16="http://schemas.microsoft.com/office/drawing/2014/main" id="{A262268E-C2B8-482E-992A-B07F35C3DF76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05" name="Host Control  12">
          <a:extLst>
            <a:ext uri="{FF2B5EF4-FFF2-40B4-BE49-F238E27FC236}">
              <a16:creationId xmlns:a16="http://schemas.microsoft.com/office/drawing/2014/main" id="{9BE48835-8D9B-4BE5-8CDE-92FB94AAE1F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06" name="Host Control  13">
          <a:extLst>
            <a:ext uri="{FF2B5EF4-FFF2-40B4-BE49-F238E27FC236}">
              <a16:creationId xmlns:a16="http://schemas.microsoft.com/office/drawing/2014/main" id="{770B274E-1E8E-47A8-9C79-DB699E1CB38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07" name="Host Control  14">
          <a:extLst>
            <a:ext uri="{FF2B5EF4-FFF2-40B4-BE49-F238E27FC236}">
              <a16:creationId xmlns:a16="http://schemas.microsoft.com/office/drawing/2014/main" id="{94D48213-BE1F-496D-A110-59187DCF2EF7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08" name="Host Control  16">
          <a:extLst>
            <a:ext uri="{FF2B5EF4-FFF2-40B4-BE49-F238E27FC236}">
              <a16:creationId xmlns:a16="http://schemas.microsoft.com/office/drawing/2014/main" id="{F221CF67-1F93-4005-BE50-5CFF655E4D1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09" name="Host Control  17">
          <a:extLst>
            <a:ext uri="{FF2B5EF4-FFF2-40B4-BE49-F238E27FC236}">
              <a16:creationId xmlns:a16="http://schemas.microsoft.com/office/drawing/2014/main" id="{E7890D4E-F511-422A-ABEA-65DC2E08C46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10" name="Host Control  18">
          <a:extLst>
            <a:ext uri="{FF2B5EF4-FFF2-40B4-BE49-F238E27FC236}">
              <a16:creationId xmlns:a16="http://schemas.microsoft.com/office/drawing/2014/main" id="{FD7F8DCD-C1FB-4B83-B931-2F0967CD21F3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11" name="Host Control  20">
          <a:extLst>
            <a:ext uri="{FF2B5EF4-FFF2-40B4-BE49-F238E27FC236}">
              <a16:creationId xmlns:a16="http://schemas.microsoft.com/office/drawing/2014/main" id="{BCFBC3B2-E934-48E4-8E06-671D5335EC1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12" name="Host Control  21">
          <a:extLst>
            <a:ext uri="{FF2B5EF4-FFF2-40B4-BE49-F238E27FC236}">
              <a16:creationId xmlns:a16="http://schemas.microsoft.com/office/drawing/2014/main" id="{67EA6EAC-C60B-4D66-8FB9-1B8BA3E9D39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13" name="Host Control  22">
          <a:extLst>
            <a:ext uri="{FF2B5EF4-FFF2-40B4-BE49-F238E27FC236}">
              <a16:creationId xmlns:a16="http://schemas.microsoft.com/office/drawing/2014/main" id="{278993AD-FD1D-42DF-8F4B-BF9626308B0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14" name="Host Control  24">
          <a:extLst>
            <a:ext uri="{FF2B5EF4-FFF2-40B4-BE49-F238E27FC236}">
              <a16:creationId xmlns:a16="http://schemas.microsoft.com/office/drawing/2014/main" id="{60F3B7F3-AE9D-4C6A-8462-66CE7474A84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15" name="Host Control  25">
          <a:extLst>
            <a:ext uri="{FF2B5EF4-FFF2-40B4-BE49-F238E27FC236}">
              <a16:creationId xmlns:a16="http://schemas.microsoft.com/office/drawing/2014/main" id="{096C795B-A221-4373-903E-4A65A4BC4E4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16" name="Host Control  26">
          <a:extLst>
            <a:ext uri="{FF2B5EF4-FFF2-40B4-BE49-F238E27FC236}">
              <a16:creationId xmlns:a16="http://schemas.microsoft.com/office/drawing/2014/main" id="{9ECF12BB-7A0E-44BC-9FE1-D38EA7BACC6E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17" name="Host Control  28">
          <a:extLst>
            <a:ext uri="{FF2B5EF4-FFF2-40B4-BE49-F238E27FC236}">
              <a16:creationId xmlns:a16="http://schemas.microsoft.com/office/drawing/2014/main" id="{330C4F1C-81AB-470F-85B4-34B8B93E69B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18" name="Host Control  29">
          <a:extLst>
            <a:ext uri="{FF2B5EF4-FFF2-40B4-BE49-F238E27FC236}">
              <a16:creationId xmlns:a16="http://schemas.microsoft.com/office/drawing/2014/main" id="{3209B5EE-5970-473C-880B-870DC3FA6DE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19" name="Host Control  30">
          <a:extLst>
            <a:ext uri="{FF2B5EF4-FFF2-40B4-BE49-F238E27FC236}">
              <a16:creationId xmlns:a16="http://schemas.microsoft.com/office/drawing/2014/main" id="{E1911B9D-74C3-4501-9133-431D1C059AD9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20" name="Host Control  32">
          <a:extLst>
            <a:ext uri="{FF2B5EF4-FFF2-40B4-BE49-F238E27FC236}">
              <a16:creationId xmlns:a16="http://schemas.microsoft.com/office/drawing/2014/main" id="{5D35AFEA-F875-44C0-BA73-1B00D9B4271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21" name="Host Control  33">
          <a:extLst>
            <a:ext uri="{FF2B5EF4-FFF2-40B4-BE49-F238E27FC236}">
              <a16:creationId xmlns:a16="http://schemas.microsoft.com/office/drawing/2014/main" id="{8683D9C2-B60D-4071-98CC-BE5A53113C7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22" name="Host Control  34">
          <a:extLst>
            <a:ext uri="{FF2B5EF4-FFF2-40B4-BE49-F238E27FC236}">
              <a16:creationId xmlns:a16="http://schemas.microsoft.com/office/drawing/2014/main" id="{B005CF00-205D-47FF-A22F-5284AECB09D2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23" name="Host Control  36">
          <a:extLst>
            <a:ext uri="{FF2B5EF4-FFF2-40B4-BE49-F238E27FC236}">
              <a16:creationId xmlns:a16="http://schemas.microsoft.com/office/drawing/2014/main" id="{3738DCC9-6CF5-43A1-A9C4-4C524EEFFC9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24" name="Host Control  37">
          <a:extLst>
            <a:ext uri="{FF2B5EF4-FFF2-40B4-BE49-F238E27FC236}">
              <a16:creationId xmlns:a16="http://schemas.microsoft.com/office/drawing/2014/main" id="{2DF93F75-8F8F-4690-AC37-481224E2D3D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25" name="Host Control  38">
          <a:extLst>
            <a:ext uri="{FF2B5EF4-FFF2-40B4-BE49-F238E27FC236}">
              <a16:creationId xmlns:a16="http://schemas.microsoft.com/office/drawing/2014/main" id="{F8D7EE92-91EB-484D-85E8-38F9B8D4E1C9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26" name="Host Control  40">
          <a:extLst>
            <a:ext uri="{FF2B5EF4-FFF2-40B4-BE49-F238E27FC236}">
              <a16:creationId xmlns:a16="http://schemas.microsoft.com/office/drawing/2014/main" id="{93124309-4EA3-48E5-9866-A28CAF5F6EC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27" name="Host Control  41">
          <a:extLst>
            <a:ext uri="{FF2B5EF4-FFF2-40B4-BE49-F238E27FC236}">
              <a16:creationId xmlns:a16="http://schemas.microsoft.com/office/drawing/2014/main" id="{29B012F8-C578-41AB-A5D6-1D7E70A0E2B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28" name="Host Control  42">
          <a:extLst>
            <a:ext uri="{FF2B5EF4-FFF2-40B4-BE49-F238E27FC236}">
              <a16:creationId xmlns:a16="http://schemas.microsoft.com/office/drawing/2014/main" id="{59A4F3E0-73EB-4F06-AA37-0A533A88896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29" name="Host Control  44">
          <a:extLst>
            <a:ext uri="{FF2B5EF4-FFF2-40B4-BE49-F238E27FC236}">
              <a16:creationId xmlns:a16="http://schemas.microsoft.com/office/drawing/2014/main" id="{343CBACC-B81C-4061-BFB5-023C4758AA3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30" name="Host Control  45">
          <a:extLst>
            <a:ext uri="{FF2B5EF4-FFF2-40B4-BE49-F238E27FC236}">
              <a16:creationId xmlns:a16="http://schemas.microsoft.com/office/drawing/2014/main" id="{5E5F550A-C823-417E-BD01-AB71D13B6B3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31" name="Host Control  46">
          <a:extLst>
            <a:ext uri="{FF2B5EF4-FFF2-40B4-BE49-F238E27FC236}">
              <a16:creationId xmlns:a16="http://schemas.microsoft.com/office/drawing/2014/main" id="{9AD07BD7-FF8A-47AB-8422-B758520C9B5F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32" name="Host Control  5">
          <a:extLst>
            <a:ext uri="{FF2B5EF4-FFF2-40B4-BE49-F238E27FC236}">
              <a16:creationId xmlns:a16="http://schemas.microsoft.com/office/drawing/2014/main" id="{4D341442-CE9A-4637-AFBE-1E870B882B5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33" name="Host Control  6">
          <a:extLst>
            <a:ext uri="{FF2B5EF4-FFF2-40B4-BE49-F238E27FC236}">
              <a16:creationId xmlns:a16="http://schemas.microsoft.com/office/drawing/2014/main" id="{AC84708C-8F70-4233-8296-93409B0F8DE3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34" name="Host Control  7">
          <a:extLst>
            <a:ext uri="{FF2B5EF4-FFF2-40B4-BE49-F238E27FC236}">
              <a16:creationId xmlns:a16="http://schemas.microsoft.com/office/drawing/2014/main" id="{4A4F8368-2F36-4B91-AF00-F5564FC72214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35" name="Host Control  12">
          <a:extLst>
            <a:ext uri="{FF2B5EF4-FFF2-40B4-BE49-F238E27FC236}">
              <a16:creationId xmlns:a16="http://schemas.microsoft.com/office/drawing/2014/main" id="{976F45F5-5813-4138-A975-5046021E384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36" name="Host Control  13">
          <a:extLst>
            <a:ext uri="{FF2B5EF4-FFF2-40B4-BE49-F238E27FC236}">
              <a16:creationId xmlns:a16="http://schemas.microsoft.com/office/drawing/2014/main" id="{C10D2C89-7704-49C0-8AA3-7EC241DCEAB2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37" name="Host Control  14">
          <a:extLst>
            <a:ext uri="{FF2B5EF4-FFF2-40B4-BE49-F238E27FC236}">
              <a16:creationId xmlns:a16="http://schemas.microsoft.com/office/drawing/2014/main" id="{57C2719F-711E-42B3-A76A-6452F841B95D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38" name="Host Control  16">
          <a:extLst>
            <a:ext uri="{FF2B5EF4-FFF2-40B4-BE49-F238E27FC236}">
              <a16:creationId xmlns:a16="http://schemas.microsoft.com/office/drawing/2014/main" id="{D9DEC8F6-F2BB-4BC4-A723-1CC54FCA451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39" name="Host Control  17">
          <a:extLst>
            <a:ext uri="{FF2B5EF4-FFF2-40B4-BE49-F238E27FC236}">
              <a16:creationId xmlns:a16="http://schemas.microsoft.com/office/drawing/2014/main" id="{EDD3AA49-DC23-47D2-9D0E-1FEA300D6ECE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40" name="Host Control  18">
          <a:extLst>
            <a:ext uri="{FF2B5EF4-FFF2-40B4-BE49-F238E27FC236}">
              <a16:creationId xmlns:a16="http://schemas.microsoft.com/office/drawing/2014/main" id="{4C8DD66E-F43E-4052-B13F-DF043775985C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41" name="Host Control  20">
          <a:extLst>
            <a:ext uri="{FF2B5EF4-FFF2-40B4-BE49-F238E27FC236}">
              <a16:creationId xmlns:a16="http://schemas.microsoft.com/office/drawing/2014/main" id="{B203EC00-F370-43EC-B03E-54DE4E516F9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42" name="Host Control  21">
          <a:extLst>
            <a:ext uri="{FF2B5EF4-FFF2-40B4-BE49-F238E27FC236}">
              <a16:creationId xmlns:a16="http://schemas.microsoft.com/office/drawing/2014/main" id="{49505FC0-BC4C-4B1A-BEF6-05D171AB3817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43" name="Host Control  22">
          <a:extLst>
            <a:ext uri="{FF2B5EF4-FFF2-40B4-BE49-F238E27FC236}">
              <a16:creationId xmlns:a16="http://schemas.microsoft.com/office/drawing/2014/main" id="{A8C42096-BDCD-49E7-92F9-C9BE99A8C7C9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44" name="Host Control  24">
          <a:extLst>
            <a:ext uri="{FF2B5EF4-FFF2-40B4-BE49-F238E27FC236}">
              <a16:creationId xmlns:a16="http://schemas.microsoft.com/office/drawing/2014/main" id="{65618A10-0D1A-45B0-97CE-E56A93ECD73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45" name="Host Control  25">
          <a:extLst>
            <a:ext uri="{FF2B5EF4-FFF2-40B4-BE49-F238E27FC236}">
              <a16:creationId xmlns:a16="http://schemas.microsoft.com/office/drawing/2014/main" id="{E3256963-6040-4C0A-A65D-8C62B78A03C9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46" name="Host Control  26">
          <a:extLst>
            <a:ext uri="{FF2B5EF4-FFF2-40B4-BE49-F238E27FC236}">
              <a16:creationId xmlns:a16="http://schemas.microsoft.com/office/drawing/2014/main" id="{9EA69F97-4C32-438B-A6D9-A83CD03F3347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47" name="Host Control  28">
          <a:extLst>
            <a:ext uri="{FF2B5EF4-FFF2-40B4-BE49-F238E27FC236}">
              <a16:creationId xmlns:a16="http://schemas.microsoft.com/office/drawing/2014/main" id="{0B3D3696-E81A-40E6-BDEB-E4C0E1DFE05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48" name="Host Control  29">
          <a:extLst>
            <a:ext uri="{FF2B5EF4-FFF2-40B4-BE49-F238E27FC236}">
              <a16:creationId xmlns:a16="http://schemas.microsoft.com/office/drawing/2014/main" id="{8F85F237-B47D-44CC-B9EF-89CD8C27C69E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49" name="Host Control  30">
          <a:extLst>
            <a:ext uri="{FF2B5EF4-FFF2-40B4-BE49-F238E27FC236}">
              <a16:creationId xmlns:a16="http://schemas.microsoft.com/office/drawing/2014/main" id="{3F08C7DB-B97D-4FBD-9A58-D8BCCF51CF88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50" name="Host Control  32">
          <a:extLst>
            <a:ext uri="{FF2B5EF4-FFF2-40B4-BE49-F238E27FC236}">
              <a16:creationId xmlns:a16="http://schemas.microsoft.com/office/drawing/2014/main" id="{187E8443-B7F4-47E6-850E-2E0F549348D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51" name="Host Control  33">
          <a:extLst>
            <a:ext uri="{FF2B5EF4-FFF2-40B4-BE49-F238E27FC236}">
              <a16:creationId xmlns:a16="http://schemas.microsoft.com/office/drawing/2014/main" id="{83893BC1-7487-46DF-8283-66E5102DD15B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52" name="Host Control  34">
          <a:extLst>
            <a:ext uri="{FF2B5EF4-FFF2-40B4-BE49-F238E27FC236}">
              <a16:creationId xmlns:a16="http://schemas.microsoft.com/office/drawing/2014/main" id="{BEA5D94E-AF95-449F-9425-C91E679A665C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53" name="Host Control  36">
          <a:extLst>
            <a:ext uri="{FF2B5EF4-FFF2-40B4-BE49-F238E27FC236}">
              <a16:creationId xmlns:a16="http://schemas.microsoft.com/office/drawing/2014/main" id="{E1788ADB-1FD4-48FA-9756-09A223610B1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54" name="Host Control  37">
          <a:extLst>
            <a:ext uri="{FF2B5EF4-FFF2-40B4-BE49-F238E27FC236}">
              <a16:creationId xmlns:a16="http://schemas.microsoft.com/office/drawing/2014/main" id="{DAEF174E-72FB-4F9D-9730-3AFEBC13091D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55" name="Host Control  38">
          <a:extLst>
            <a:ext uri="{FF2B5EF4-FFF2-40B4-BE49-F238E27FC236}">
              <a16:creationId xmlns:a16="http://schemas.microsoft.com/office/drawing/2014/main" id="{08059239-9D20-42D1-BBB9-3031B71D8B84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56" name="Host Control  40">
          <a:extLst>
            <a:ext uri="{FF2B5EF4-FFF2-40B4-BE49-F238E27FC236}">
              <a16:creationId xmlns:a16="http://schemas.microsoft.com/office/drawing/2014/main" id="{AD632072-667F-4B37-AFDA-7793501E634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57" name="Host Control  41">
          <a:extLst>
            <a:ext uri="{FF2B5EF4-FFF2-40B4-BE49-F238E27FC236}">
              <a16:creationId xmlns:a16="http://schemas.microsoft.com/office/drawing/2014/main" id="{EAB0DDD8-783D-4F45-92D7-A2C151CB64D7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58" name="Host Control  42">
          <a:extLst>
            <a:ext uri="{FF2B5EF4-FFF2-40B4-BE49-F238E27FC236}">
              <a16:creationId xmlns:a16="http://schemas.microsoft.com/office/drawing/2014/main" id="{B7EF1694-9D1A-49CA-87B0-A625309B1439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59" name="Host Control  44">
          <a:extLst>
            <a:ext uri="{FF2B5EF4-FFF2-40B4-BE49-F238E27FC236}">
              <a16:creationId xmlns:a16="http://schemas.microsoft.com/office/drawing/2014/main" id="{6E6AC36D-109F-4538-BE39-71490B0E932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60" name="Host Control  45">
          <a:extLst>
            <a:ext uri="{FF2B5EF4-FFF2-40B4-BE49-F238E27FC236}">
              <a16:creationId xmlns:a16="http://schemas.microsoft.com/office/drawing/2014/main" id="{6B05A375-09A8-4B9D-BCF6-7DAF6D302844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61" name="Host Control  46">
          <a:extLst>
            <a:ext uri="{FF2B5EF4-FFF2-40B4-BE49-F238E27FC236}">
              <a16:creationId xmlns:a16="http://schemas.microsoft.com/office/drawing/2014/main" id="{EBE2A2E8-AE10-40AB-9A12-AB517C977438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62" name="Host Control  5">
          <a:extLst>
            <a:ext uri="{FF2B5EF4-FFF2-40B4-BE49-F238E27FC236}">
              <a16:creationId xmlns:a16="http://schemas.microsoft.com/office/drawing/2014/main" id="{2707D9ED-A6D5-4670-A152-32BECFD5516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63" name="Host Control  6">
          <a:extLst>
            <a:ext uri="{FF2B5EF4-FFF2-40B4-BE49-F238E27FC236}">
              <a16:creationId xmlns:a16="http://schemas.microsoft.com/office/drawing/2014/main" id="{FE1FB850-818B-4407-BFF8-82BF8727A4D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64" name="Host Control  7">
          <a:extLst>
            <a:ext uri="{FF2B5EF4-FFF2-40B4-BE49-F238E27FC236}">
              <a16:creationId xmlns:a16="http://schemas.microsoft.com/office/drawing/2014/main" id="{D5BCC090-8594-4E3A-86E7-FA0EA2EBFBCD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65" name="Host Control  12">
          <a:extLst>
            <a:ext uri="{FF2B5EF4-FFF2-40B4-BE49-F238E27FC236}">
              <a16:creationId xmlns:a16="http://schemas.microsoft.com/office/drawing/2014/main" id="{4B712AE7-A6A8-4651-B8F9-A6037476A16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66" name="Host Control  13">
          <a:extLst>
            <a:ext uri="{FF2B5EF4-FFF2-40B4-BE49-F238E27FC236}">
              <a16:creationId xmlns:a16="http://schemas.microsoft.com/office/drawing/2014/main" id="{A56C9246-EEE1-4CE6-8C9D-1C636CDF270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67" name="Host Control  14">
          <a:extLst>
            <a:ext uri="{FF2B5EF4-FFF2-40B4-BE49-F238E27FC236}">
              <a16:creationId xmlns:a16="http://schemas.microsoft.com/office/drawing/2014/main" id="{55C71592-6A1A-4E18-8B69-19F5CAF6A8E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68" name="Host Control  16">
          <a:extLst>
            <a:ext uri="{FF2B5EF4-FFF2-40B4-BE49-F238E27FC236}">
              <a16:creationId xmlns:a16="http://schemas.microsoft.com/office/drawing/2014/main" id="{3956F8E7-35CB-4017-B0B0-5129CB0388C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69" name="Host Control  17">
          <a:extLst>
            <a:ext uri="{FF2B5EF4-FFF2-40B4-BE49-F238E27FC236}">
              <a16:creationId xmlns:a16="http://schemas.microsoft.com/office/drawing/2014/main" id="{84DCEEC3-499F-4CEE-A586-A07A95953D7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70" name="Host Control  18">
          <a:extLst>
            <a:ext uri="{FF2B5EF4-FFF2-40B4-BE49-F238E27FC236}">
              <a16:creationId xmlns:a16="http://schemas.microsoft.com/office/drawing/2014/main" id="{D9E026D4-61CE-47E2-8435-01C2DA3D032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71" name="Host Control  20">
          <a:extLst>
            <a:ext uri="{FF2B5EF4-FFF2-40B4-BE49-F238E27FC236}">
              <a16:creationId xmlns:a16="http://schemas.microsoft.com/office/drawing/2014/main" id="{CF0A464E-4A9B-42C0-9F18-B859773A274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72" name="Host Control  21">
          <a:extLst>
            <a:ext uri="{FF2B5EF4-FFF2-40B4-BE49-F238E27FC236}">
              <a16:creationId xmlns:a16="http://schemas.microsoft.com/office/drawing/2014/main" id="{D48C6E2D-6ABA-496D-BD3F-03F6412122C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73" name="Host Control  22">
          <a:extLst>
            <a:ext uri="{FF2B5EF4-FFF2-40B4-BE49-F238E27FC236}">
              <a16:creationId xmlns:a16="http://schemas.microsoft.com/office/drawing/2014/main" id="{8F8121A9-09DD-482A-8E37-6689B2B51B78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74" name="Host Control  24">
          <a:extLst>
            <a:ext uri="{FF2B5EF4-FFF2-40B4-BE49-F238E27FC236}">
              <a16:creationId xmlns:a16="http://schemas.microsoft.com/office/drawing/2014/main" id="{6828C9FA-7373-4DCD-AAE6-528E181DF14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75" name="Host Control  25">
          <a:extLst>
            <a:ext uri="{FF2B5EF4-FFF2-40B4-BE49-F238E27FC236}">
              <a16:creationId xmlns:a16="http://schemas.microsoft.com/office/drawing/2014/main" id="{88E9D3DF-7B65-4E6D-BCE8-CDBC50BC3ED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76" name="Host Control  26">
          <a:extLst>
            <a:ext uri="{FF2B5EF4-FFF2-40B4-BE49-F238E27FC236}">
              <a16:creationId xmlns:a16="http://schemas.microsoft.com/office/drawing/2014/main" id="{5D304BA8-3D78-48DA-B3BD-0CF655DA1FC3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77" name="Host Control  28">
          <a:extLst>
            <a:ext uri="{FF2B5EF4-FFF2-40B4-BE49-F238E27FC236}">
              <a16:creationId xmlns:a16="http://schemas.microsoft.com/office/drawing/2014/main" id="{09C9AFC8-6983-4EEE-8015-D2AC0464E6D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78" name="Host Control  29">
          <a:extLst>
            <a:ext uri="{FF2B5EF4-FFF2-40B4-BE49-F238E27FC236}">
              <a16:creationId xmlns:a16="http://schemas.microsoft.com/office/drawing/2014/main" id="{0434F4F9-8630-4A81-B26C-B14C6AB2E5C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79" name="Host Control  30">
          <a:extLst>
            <a:ext uri="{FF2B5EF4-FFF2-40B4-BE49-F238E27FC236}">
              <a16:creationId xmlns:a16="http://schemas.microsoft.com/office/drawing/2014/main" id="{584730FA-ECFD-4137-9FA4-5E022937E550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80" name="Host Control  32">
          <a:extLst>
            <a:ext uri="{FF2B5EF4-FFF2-40B4-BE49-F238E27FC236}">
              <a16:creationId xmlns:a16="http://schemas.microsoft.com/office/drawing/2014/main" id="{F4CB82AD-1264-4538-87B7-5F85E063E10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81" name="Host Control  33">
          <a:extLst>
            <a:ext uri="{FF2B5EF4-FFF2-40B4-BE49-F238E27FC236}">
              <a16:creationId xmlns:a16="http://schemas.microsoft.com/office/drawing/2014/main" id="{362572EE-9B63-4A88-8DFD-9098A1917D9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82" name="Host Control  34">
          <a:extLst>
            <a:ext uri="{FF2B5EF4-FFF2-40B4-BE49-F238E27FC236}">
              <a16:creationId xmlns:a16="http://schemas.microsoft.com/office/drawing/2014/main" id="{14318EE9-0537-44E2-977A-44479831B705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83" name="Host Control  36">
          <a:extLst>
            <a:ext uri="{FF2B5EF4-FFF2-40B4-BE49-F238E27FC236}">
              <a16:creationId xmlns:a16="http://schemas.microsoft.com/office/drawing/2014/main" id="{B734CB64-5585-4195-B302-137DD1D566E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84" name="Host Control  37">
          <a:extLst>
            <a:ext uri="{FF2B5EF4-FFF2-40B4-BE49-F238E27FC236}">
              <a16:creationId xmlns:a16="http://schemas.microsoft.com/office/drawing/2014/main" id="{0013976E-9E93-444E-8B23-D3952793846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85" name="Host Control  38">
          <a:extLst>
            <a:ext uri="{FF2B5EF4-FFF2-40B4-BE49-F238E27FC236}">
              <a16:creationId xmlns:a16="http://schemas.microsoft.com/office/drawing/2014/main" id="{5F81BF64-8DE3-4F87-B090-12E4754C0B3A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86" name="Host Control  40">
          <a:extLst>
            <a:ext uri="{FF2B5EF4-FFF2-40B4-BE49-F238E27FC236}">
              <a16:creationId xmlns:a16="http://schemas.microsoft.com/office/drawing/2014/main" id="{5182A494-EDB0-4295-BCCB-F4A7A6E0C4A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87" name="Host Control  41">
          <a:extLst>
            <a:ext uri="{FF2B5EF4-FFF2-40B4-BE49-F238E27FC236}">
              <a16:creationId xmlns:a16="http://schemas.microsoft.com/office/drawing/2014/main" id="{F2494987-BCA1-4743-890C-F0D97226DF9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88" name="Host Control  42">
          <a:extLst>
            <a:ext uri="{FF2B5EF4-FFF2-40B4-BE49-F238E27FC236}">
              <a16:creationId xmlns:a16="http://schemas.microsoft.com/office/drawing/2014/main" id="{EC53C0AB-D12B-49F8-A751-49BC8C67C795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89" name="Host Control  44">
          <a:extLst>
            <a:ext uri="{FF2B5EF4-FFF2-40B4-BE49-F238E27FC236}">
              <a16:creationId xmlns:a16="http://schemas.microsoft.com/office/drawing/2014/main" id="{0315000C-24FB-4F37-A0AF-9A48EBE45A7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90" name="Host Control  45">
          <a:extLst>
            <a:ext uri="{FF2B5EF4-FFF2-40B4-BE49-F238E27FC236}">
              <a16:creationId xmlns:a16="http://schemas.microsoft.com/office/drawing/2014/main" id="{93B82E3F-ECA0-4EAD-8447-D8492D052DB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391" name="Host Control  46">
          <a:extLst>
            <a:ext uri="{FF2B5EF4-FFF2-40B4-BE49-F238E27FC236}">
              <a16:creationId xmlns:a16="http://schemas.microsoft.com/office/drawing/2014/main" id="{3481AFF6-84C6-4301-9A69-AC79BCC33586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92" name="Host Control  5">
          <a:extLst>
            <a:ext uri="{FF2B5EF4-FFF2-40B4-BE49-F238E27FC236}">
              <a16:creationId xmlns:a16="http://schemas.microsoft.com/office/drawing/2014/main" id="{B1E7D9EC-EF78-4136-BF6A-CA81DE7285A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93" name="Host Control  6">
          <a:extLst>
            <a:ext uri="{FF2B5EF4-FFF2-40B4-BE49-F238E27FC236}">
              <a16:creationId xmlns:a16="http://schemas.microsoft.com/office/drawing/2014/main" id="{BD18DA13-CAAC-47EB-AA02-C034149C6584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94" name="Host Control  7">
          <a:extLst>
            <a:ext uri="{FF2B5EF4-FFF2-40B4-BE49-F238E27FC236}">
              <a16:creationId xmlns:a16="http://schemas.microsoft.com/office/drawing/2014/main" id="{F917EF9D-9811-4F60-B10F-3010DA14C723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95" name="Host Control  12">
          <a:extLst>
            <a:ext uri="{FF2B5EF4-FFF2-40B4-BE49-F238E27FC236}">
              <a16:creationId xmlns:a16="http://schemas.microsoft.com/office/drawing/2014/main" id="{3D3D4061-5396-4494-B73B-804257A7545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96" name="Host Control  13">
          <a:extLst>
            <a:ext uri="{FF2B5EF4-FFF2-40B4-BE49-F238E27FC236}">
              <a16:creationId xmlns:a16="http://schemas.microsoft.com/office/drawing/2014/main" id="{0E6E086E-D1EC-4EA6-89EC-F28CDD06691A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397" name="Host Control  14">
          <a:extLst>
            <a:ext uri="{FF2B5EF4-FFF2-40B4-BE49-F238E27FC236}">
              <a16:creationId xmlns:a16="http://schemas.microsoft.com/office/drawing/2014/main" id="{30055F8B-751F-4A69-9B5F-5ECA3C923FC5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398" name="Host Control  16">
          <a:extLst>
            <a:ext uri="{FF2B5EF4-FFF2-40B4-BE49-F238E27FC236}">
              <a16:creationId xmlns:a16="http://schemas.microsoft.com/office/drawing/2014/main" id="{39D53479-AA4B-4AE1-A007-11B230BD72B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399" name="Host Control  17">
          <a:extLst>
            <a:ext uri="{FF2B5EF4-FFF2-40B4-BE49-F238E27FC236}">
              <a16:creationId xmlns:a16="http://schemas.microsoft.com/office/drawing/2014/main" id="{44402573-D2DF-4C64-A9BC-D9AE6381F0A6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00" name="Host Control  18">
          <a:extLst>
            <a:ext uri="{FF2B5EF4-FFF2-40B4-BE49-F238E27FC236}">
              <a16:creationId xmlns:a16="http://schemas.microsoft.com/office/drawing/2014/main" id="{6280E202-8B80-44E4-BB20-E8FAE53B4283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01" name="Host Control  20">
          <a:extLst>
            <a:ext uri="{FF2B5EF4-FFF2-40B4-BE49-F238E27FC236}">
              <a16:creationId xmlns:a16="http://schemas.microsoft.com/office/drawing/2014/main" id="{65582FFF-B5F1-479C-8B4F-3F6BA0B29F4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02" name="Host Control  21">
          <a:extLst>
            <a:ext uri="{FF2B5EF4-FFF2-40B4-BE49-F238E27FC236}">
              <a16:creationId xmlns:a16="http://schemas.microsoft.com/office/drawing/2014/main" id="{5D895322-7E62-40AB-9F1B-12EB64C92962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03" name="Host Control  22">
          <a:extLst>
            <a:ext uri="{FF2B5EF4-FFF2-40B4-BE49-F238E27FC236}">
              <a16:creationId xmlns:a16="http://schemas.microsoft.com/office/drawing/2014/main" id="{F1EE8B20-1797-4840-A950-C2CE71ED93D2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04" name="Host Control  24">
          <a:extLst>
            <a:ext uri="{FF2B5EF4-FFF2-40B4-BE49-F238E27FC236}">
              <a16:creationId xmlns:a16="http://schemas.microsoft.com/office/drawing/2014/main" id="{913CDD83-42F7-41C3-AECE-CC5F5EF557C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05" name="Host Control  25">
          <a:extLst>
            <a:ext uri="{FF2B5EF4-FFF2-40B4-BE49-F238E27FC236}">
              <a16:creationId xmlns:a16="http://schemas.microsoft.com/office/drawing/2014/main" id="{D91422A0-61A8-421D-BB38-D5CCC54CB3FF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06" name="Host Control  26">
          <a:extLst>
            <a:ext uri="{FF2B5EF4-FFF2-40B4-BE49-F238E27FC236}">
              <a16:creationId xmlns:a16="http://schemas.microsoft.com/office/drawing/2014/main" id="{030A19C2-349D-4D13-8BC3-F71167332511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07" name="Host Control  28">
          <a:extLst>
            <a:ext uri="{FF2B5EF4-FFF2-40B4-BE49-F238E27FC236}">
              <a16:creationId xmlns:a16="http://schemas.microsoft.com/office/drawing/2014/main" id="{E9BC4704-4385-4526-870D-B9468725A21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08" name="Host Control  29">
          <a:extLst>
            <a:ext uri="{FF2B5EF4-FFF2-40B4-BE49-F238E27FC236}">
              <a16:creationId xmlns:a16="http://schemas.microsoft.com/office/drawing/2014/main" id="{B5B72E2A-94EA-4CB6-BF2C-E022362DE049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09" name="Host Control  30">
          <a:extLst>
            <a:ext uri="{FF2B5EF4-FFF2-40B4-BE49-F238E27FC236}">
              <a16:creationId xmlns:a16="http://schemas.microsoft.com/office/drawing/2014/main" id="{35B4643E-40ED-435C-89F7-295553C87132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10" name="Host Control  32">
          <a:extLst>
            <a:ext uri="{FF2B5EF4-FFF2-40B4-BE49-F238E27FC236}">
              <a16:creationId xmlns:a16="http://schemas.microsoft.com/office/drawing/2014/main" id="{E818AF93-4707-4BB7-92B9-AEF1066D8AC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11" name="Host Control  33">
          <a:extLst>
            <a:ext uri="{FF2B5EF4-FFF2-40B4-BE49-F238E27FC236}">
              <a16:creationId xmlns:a16="http://schemas.microsoft.com/office/drawing/2014/main" id="{5876EA37-603E-4E02-8506-4E0530500425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12" name="Host Control  34">
          <a:extLst>
            <a:ext uri="{FF2B5EF4-FFF2-40B4-BE49-F238E27FC236}">
              <a16:creationId xmlns:a16="http://schemas.microsoft.com/office/drawing/2014/main" id="{763097E4-40D7-4DD9-9FB3-A0DA347B2A2D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13" name="Host Control  36">
          <a:extLst>
            <a:ext uri="{FF2B5EF4-FFF2-40B4-BE49-F238E27FC236}">
              <a16:creationId xmlns:a16="http://schemas.microsoft.com/office/drawing/2014/main" id="{10C9EE46-3CEA-4A7B-80DE-44FF1F0C791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14" name="Host Control  37">
          <a:extLst>
            <a:ext uri="{FF2B5EF4-FFF2-40B4-BE49-F238E27FC236}">
              <a16:creationId xmlns:a16="http://schemas.microsoft.com/office/drawing/2014/main" id="{3984D47D-5F17-4E5A-A921-E550C705E52F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15" name="Host Control  38">
          <a:extLst>
            <a:ext uri="{FF2B5EF4-FFF2-40B4-BE49-F238E27FC236}">
              <a16:creationId xmlns:a16="http://schemas.microsoft.com/office/drawing/2014/main" id="{24932B83-4CB7-4C71-B046-A660CDEA0CE7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16" name="Host Control  40">
          <a:extLst>
            <a:ext uri="{FF2B5EF4-FFF2-40B4-BE49-F238E27FC236}">
              <a16:creationId xmlns:a16="http://schemas.microsoft.com/office/drawing/2014/main" id="{681F291B-A8BB-4366-AE00-3043A046D36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17" name="Host Control  41">
          <a:extLst>
            <a:ext uri="{FF2B5EF4-FFF2-40B4-BE49-F238E27FC236}">
              <a16:creationId xmlns:a16="http://schemas.microsoft.com/office/drawing/2014/main" id="{A385E6FB-A1EF-46F9-B33D-E30766ED0D2D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18" name="Host Control  42">
          <a:extLst>
            <a:ext uri="{FF2B5EF4-FFF2-40B4-BE49-F238E27FC236}">
              <a16:creationId xmlns:a16="http://schemas.microsoft.com/office/drawing/2014/main" id="{525D7B3A-E72D-45AD-ACEF-42E09DF956B1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19" name="Host Control  44">
          <a:extLst>
            <a:ext uri="{FF2B5EF4-FFF2-40B4-BE49-F238E27FC236}">
              <a16:creationId xmlns:a16="http://schemas.microsoft.com/office/drawing/2014/main" id="{EA0A0E0C-3D66-4DE7-9476-63AFA538606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20" name="Host Control  45">
          <a:extLst>
            <a:ext uri="{FF2B5EF4-FFF2-40B4-BE49-F238E27FC236}">
              <a16:creationId xmlns:a16="http://schemas.microsoft.com/office/drawing/2014/main" id="{7A007A9D-2A49-4219-B79D-BF649DFCE021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21" name="Host Control  46">
          <a:extLst>
            <a:ext uri="{FF2B5EF4-FFF2-40B4-BE49-F238E27FC236}">
              <a16:creationId xmlns:a16="http://schemas.microsoft.com/office/drawing/2014/main" id="{627FB236-5FE1-4BD0-966A-7482FB778B7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22" name="Host Control  5">
          <a:extLst>
            <a:ext uri="{FF2B5EF4-FFF2-40B4-BE49-F238E27FC236}">
              <a16:creationId xmlns:a16="http://schemas.microsoft.com/office/drawing/2014/main" id="{4382A7BC-3F80-475B-B19B-18D07829807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23" name="Host Control  6">
          <a:extLst>
            <a:ext uri="{FF2B5EF4-FFF2-40B4-BE49-F238E27FC236}">
              <a16:creationId xmlns:a16="http://schemas.microsoft.com/office/drawing/2014/main" id="{57EC3678-FA00-4CBF-B387-000135BE81F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24" name="Host Control  7">
          <a:extLst>
            <a:ext uri="{FF2B5EF4-FFF2-40B4-BE49-F238E27FC236}">
              <a16:creationId xmlns:a16="http://schemas.microsoft.com/office/drawing/2014/main" id="{42D1B243-5C89-44F1-93F4-DA84A67916CE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25" name="Host Control  12">
          <a:extLst>
            <a:ext uri="{FF2B5EF4-FFF2-40B4-BE49-F238E27FC236}">
              <a16:creationId xmlns:a16="http://schemas.microsoft.com/office/drawing/2014/main" id="{4C22480A-6C0A-4543-8F1F-B5614ED9627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26" name="Host Control  13">
          <a:extLst>
            <a:ext uri="{FF2B5EF4-FFF2-40B4-BE49-F238E27FC236}">
              <a16:creationId xmlns:a16="http://schemas.microsoft.com/office/drawing/2014/main" id="{20B0F69E-46D3-4D19-B9EF-2BF46E745E9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27" name="Host Control  14">
          <a:extLst>
            <a:ext uri="{FF2B5EF4-FFF2-40B4-BE49-F238E27FC236}">
              <a16:creationId xmlns:a16="http://schemas.microsoft.com/office/drawing/2014/main" id="{63631BF2-4EBC-4224-877C-CCEC5D8951C4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28" name="Host Control  16">
          <a:extLst>
            <a:ext uri="{FF2B5EF4-FFF2-40B4-BE49-F238E27FC236}">
              <a16:creationId xmlns:a16="http://schemas.microsoft.com/office/drawing/2014/main" id="{8FB14210-09B6-418F-88FB-EE80EA50715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29" name="Host Control  17">
          <a:extLst>
            <a:ext uri="{FF2B5EF4-FFF2-40B4-BE49-F238E27FC236}">
              <a16:creationId xmlns:a16="http://schemas.microsoft.com/office/drawing/2014/main" id="{F41FFAFE-EBAA-4890-AF0A-FEC2A504CE3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30" name="Host Control  18">
          <a:extLst>
            <a:ext uri="{FF2B5EF4-FFF2-40B4-BE49-F238E27FC236}">
              <a16:creationId xmlns:a16="http://schemas.microsoft.com/office/drawing/2014/main" id="{67DF330E-65C9-455E-AB11-52C087912FB4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31" name="Host Control  20">
          <a:extLst>
            <a:ext uri="{FF2B5EF4-FFF2-40B4-BE49-F238E27FC236}">
              <a16:creationId xmlns:a16="http://schemas.microsoft.com/office/drawing/2014/main" id="{5E2BCFA8-CFB6-42DF-8842-EBC8DA6561B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32" name="Host Control  21">
          <a:extLst>
            <a:ext uri="{FF2B5EF4-FFF2-40B4-BE49-F238E27FC236}">
              <a16:creationId xmlns:a16="http://schemas.microsoft.com/office/drawing/2014/main" id="{F748263B-FE1A-42E6-9477-610D00C565F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33" name="Host Control  22">
          <a:extLst>
            <a:ext uri="{FF2B5EF4-FFF2-40B4-BE49-F238E27FC236}">
              <a16:creationId xmlns:a16="http://schemas.microsoft.com/office/drawing/2014/main" id="{D75053EF-1265-4DB1-9D3B-C741F97B84F8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34" name="Host Control  24">
          <a:extLst>
            <a:ext uri="{FF2B5EF4-FFF2-40B4-BE49-F238E27FC236}">
              <a16:creationId xmlns:a16="http://schemas.microsoft.com/office/drawing/2014/main" id="{370E5BD5-9C0E-46C4-9937-A115F2232A5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35" name="Host Control  25">
          <a:extLst>
            <a:ext uri="{FF2B5EF4-FFF2-40B4-BE49-F238E27FC236}">
              <a16:creationId xmlns:a16="http://schemas.microsoft.com/office/drawing/2014/main" id="{4866751B-4482-4E58-98F4-8337E0893A1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36" name="Host Control  26">
          <a:extLst>
            <a:ext uri="{FF2B5EF4-FFF2-40B4-BE49-F238E27FC236}">
              <a16:creationId xmlns:a16="http://schemas.microsoft.com/office/drawing/2014/main" id="{EAD79F99-E47E-44A9-BFA7-CD4109AFB476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37" name="Host Control  28">
          <a:extLst>
            <a:ext uri="{FF2B5EF4-FFF2-40B4-BE49-F238E27FC236}">
              <a16:creationId xmlns:a16="http://schemas.microsoft.com/office/drawing/2014/main" id="{F090CE86-B313-4B25-B160-3763CF36519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38" name="Host Control  29">
          <a:extLst>
            <a:ext uri="{FF2B5EF4-FFF2-40B4-BE49-F238E27FC236}">
              <a16:creationId xmlns:a16="http://schemas.microsoft.com/office/drawing/2014/main" id="{BFE1E273-F9EB-494C-81C5-E354B8A7C6C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39" name="Host Control  30">
          <a:extLst>
            <a:ext uri="{FF2B5EF4-FFF2-40B4-BE49-F238E27FC236}">
              <a16:creationId xmlns:a16="http://schemas.microsoft.com/office/drawing/2014/main" id="{F5D32119-4A84-4AB9-AAC2-FE0B1A0957C0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40" name="Host Control  32">
          <a:extLst>
            <a:ext uri="{FF2B5EF4-FFF2-40B4-BE49-F238E27FC236}">
              <a16:creationId xmlns:a16="http://schemas.microsoft.com/office/drawing/2014/main" id="{7CE17A90-1E33-4086-A5F6-C68005D687A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41" name="Host Control  33">
          <a:extLst>
            <a:ext uri="{FF2B5EF4-FFF2-40B4-BE49-F238E27FC236}">
              <a16:creationId xmlns:a16="http://schemas.microsoft.com/office/drawing/2014/main" id="{755C5BC1-E1E1-4817-A6AA-BD9E47EEDF7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42" name="Host Control  34">
          <a:extLst>
            <a:ext uri="{FF2B5EF4-FFF2-40B4-BE49-F238E27FC236}">
              <a16:creationId xmlns:a16="http://schemas.microsoft.com/office/drawing/2014/main" id="{4BBD6EF7-F5AC-47B5-AED7-B0E247330C1E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43" name="Host Control  36">
          <a:extLst>
            <a:ext uri="{FF2B5EF4-FFF2-40B4-BE49-F238E27FC236}">
              <a16:creationId xmlns:a16="http://schemas.microsoft.com/office/drawing/2014/main" id="{84AF43A2-CB50-436A-958B-9FD66EEE78B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44" name="Host Control  37">
          <a:extLst>
            <a:ext uri="{FF2B5EF4-FFF2-40B4-BE49-F238E27FC236}">
              <a16:creationId xmlns:a16="http://schemas.microsoft.com/office/drawing/2014/main" id="{7A1D7C65-1B48-4DCB-AEB3-34665F7434C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45" name="Host Control  38">
          <a:extLst>
            <a:ext uri="{FF2B5EF4-FFF2-40B4-BE49-F238E27FC236}">
              <a16:creationId xmlns:a16="http://schemas.microsoft.com/office/drawing/2014/main" id="{6125CD1C-67AC-4ED4-ADA4-0E9D198ED657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46" name="Host Control  40">
          <a:extLst>
            <a:ext uri="{FF2B5EF4-FFF2-40B4-BE49-F238E27FC236}">
              <a16:creationId xmlns:a16="http://schemas.microsoft.com/office/drawing/2014/main" id="{3B47BD23-9FF3-4EA9-ACCB-737BD7CF3D7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47" name="Host Control  41">
          <a:extLst>
            <a:ext uri="{FF2B5EF4-FFF2-40B4-BE49-F238E27FC236}">
              <a16:creationId xmlns:a16="http://schemas.microsoft.com/office/drawing/2014/main" id="{13570C78-121C-4F68-93D3-3F33149ABE9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48" name="Host Control  42">
          <a:extLst>
            <a:ext uri="{FF2B5EF4-FFF2-40B4-BE49-F238E27FC236}">
              <a16:creationId xmlns:a16="http://schemas.microsoft.com/office/drawing/2014/main" id="{E14C65F6-B3E8-4F9D-A9FB-F83628836797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49" name="Host Control  44">
          <a:extLst>
            <a:ext uri="{FF2B5EF4-FFF2-40B4-BE49-F238E27FC236}">
              <a16:creationId xmlns:a16="http://schemas.microsoft.com/office/drawing/2014/main" id="{3BBEB054-E37E-4352-BEBA-FF7C89E73E7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50" name="Host Control  45">
          <a:extLst>
            <a:ext uri="{FF2B5EF4-FFF2-40B4-BE49-F238E27FC236}">
              <a16:creationId xmlns:a16="http://schemas.microsoft.com/office/drawing/2014/main" id="{6F1DA5A0-99DD-4DCD-AC5A-607988F191A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51" name="Host Control  46">
          <a:extLst>
            <a:ext uri="{FF2B5EF4-FFF2-40B4-BE49-F238E27FC236}">
              <a16:creationId xmlns:a16="http://schemas.microsoft.com/office/drawing/2014/main" id="{232FC1A8-9414-48F7-8F88-01D8C1A2F14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52" name="Host Control  5">
          <a:extLst>
            <a:ext uri="{FF2B5EF4-FFF2-40B4-BE49-F238E27FC236}">
              <a16:creationId xmlns:a16="http://schemas.microsoft.com/office/drawing/2014/main" id="{6BDFD8CA-72FA-4B80-98A8-D2A9989F979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53" name="Host Control  6">
          <a:extLst>
            <a:ext uri="{FF2B5EF4-FFF2-40B4-BE49-F238E27FC236}">
              <a16:creationId xmlns:a16="http://schemas.microsoft.com/office/drawing/2014/main" id="{49916F6B-BE16-4471-8AB4-D2835C4094B3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54" name="Host Control  7">
          <a:extLst>
            <a:ext uri="{FF2B5EF4-FFF2-40B4-BE49-F238E27FC236}">
              <a16:creationId xmlns:a16="http://schemas.microsoft.com/office/drawing/2014/main" id="{E69F144B-E37B-4FF0-BA9D-F40FF32D37E4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55" name="Host Control  12">
          <a:extLst>
            <a:ext uri="{FF2B5EF4-FFF2-40B4-BE49-F238E27FC236}">
              <a16:creationId xmlns:a16="http://schemas.microsoft.com/office/drawing/2014/main" id="{6B58F3EC-F11E-49C7-A4B5-935233B1026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56" name="Host Control  13">
          <a:extLst>
            <a:ext uri="{FF2B5EF4-FFF2-40B4-BE49-F238E27FC236}">
              <a16:creationId xmlns:a16="http://schemas.microsoft.com/office/drawing/2014/main" id="{8438F385-E4B2-4F8A-902C-1EDAC1638375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57" name="Host Control  14">
          <a:extLst>
            <a:ext uri="{FF2B5EF4-FFF2-40B4-BE49-F238E27FC236}">
              <a16:creationId xmlns:a16="http://schemas.microsoft.com/office/drawing/2014/main" id="{88998865-BBD2-4B88-81D4-FCB40B0FBD4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58" name="Host Control  16">
          <a:extLst>
            <a:ext uri="{FF2B5EF4-FFF2-40B4-BE49-F238E27FC236}">
              <a16:creationId xmlns:a16="http://schemas.microsoft.com/office/drawing/2014/main" id="{AAD66AAF-E109-4F9F-AA72-BAED048F0E2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59" name="Host Control  17">
          <a:extLst>
            <a:ext uri="{FF2B5EF4-FFF2-40B4-BE49-F238E27FC236}">
              <a16:creationId xmlns:a16="http://schemas.microsoft.com/office/drawing/2014/main" id="{1995260B-AFBD-430A-99D5-BC9FB0407142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60" name="Host Control  18">
          <a:extLst>
            <a:ext uri="{FF2B5EF4-FFF2-40B4-BE49-F238E27FC236}">
              <a16:creationId xmlns:a16="http://schemas.microsoft.com/office/drawing/2014/main" id="{1E4AD9E1-0701-498A-9CC5-68BB9EFF6DEC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61" name="Host Control  20">
          <a:extLst>
            <a:ext uri="{FF2B5EF4-FFF2-40B4-BE49-F238E27FC236}">
              <a16:creationId xmlns:a16="http://schemas.microsoft.com/office/drawing/2014/main" id="{7807BD18-3710-40FD-82FA-8A3B868DB7D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62" name="Host Control  21">
          <a:extLst>
            <a:ext uri="{FF2B5EF4-FFF2-40B4-BE49-F238E27FC236}">
              <a16:creationId xmlns:a16="http://schemas.microsoft.com/office/drawing/2014/main" id="{DC6DFE3C-C581-42AA-AF9B-86A3481178B9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63" name="Host Control  22">
          <a:extLst>
            <a:ext uri="{FF2B5EF4-FFF2-40B4-BE49-F238E27FC236}">
              <a16:creationId xmlns:a16="http://schemas.microsoft.com/office/drawing/2014/main" id="{64AA4D32-7843-437D-BE1F-2C073B629E97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64" name="Host Control  24">
          <a:extLst>
            <a:ext uri="{FF2B5EF4-FFF2-40B4-BE49-F238E27FC236}">
              <a16:creationId xmlns:a16="http://schemas.microsoft.com/office/drawing/2014/main" id="{54061DEE-D059-446F-AEF8-584CF32DDD1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65" name="Host Control  25">
          <a:extLst>
            <a:ext uri="{FF2B5EF4-FFF2-40B4-BE49-F238E27FC236}">
              <a16:creationId xmlns:a16="http://schemas.microsoft.com/office/drawing/2014/main" id="{E8E52B97-6937-4362-8A06-CEE24E26432E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66" name="Host Control  26">
          <a:extLst>
            <a:ext uri="{FF2B5EF4-FFF2-40B4-BE49-F238E27FC236}">
              <a16:creationId xmlns:a16="http://schemas.microsoft.com/office/drawing/2014/main" id="{67E87A2B-9265-4F11-9055-66275BCA3E71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67" name="Host Control  28">
          <a:extLst>
            <a:ext uri="{FF2B5EF4-FFF2-40B4-BE49-F238E27FC236}">
              <a16:creationId xmlns:a16="http://schemas.microsoft.com/office/drawing/2014/main" id="{2D58B9BE-9664-4CA7-B2AD-4F701D9872E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68" name="Host Control  29">
          <a:extLst>
            <a:ext uri="{FF2B5EF4-FFF2-40B4-BE49-F238E27FC236}">
              <a16:creationId xmlns:a16="http://schemas.microsoft.com/office/drawing/2014/main" id="{73EC4333-2B36-47DB-92E8-0874DA40FBBC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69" name="Host Control  30">
          <a:extLst>
            <a:ext uri="{FF2B5EF4-FFF2-40B4-BE49-F238E27FC236}">
              <a16:creationId xmlns:a16="http://schemas.microsoft.com/office/drawing/2014/main" id="{61DA269E-8E4D-4F01-A2DD-A94F44DE373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70" name="Host Control  32">
          <a:extLst>
            <a:ext uri="{FF2B5EF4-FFF2-40B4-BE49-F238E27FC236}">
              <a16:creationId xmlns:a16="http://schemas.microsoft.com/office/drawing/2014/main" id="{AD8850D3-DFEE-40F8-9721-C3D490E4B86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71" name="Host Control  33">
          <a:extLst>
            <a:ext uri="{FF2B5EF4-FFF2-40B4-BE49-F238E27FC236}">
              <a16:creationId xmlns:a16="http://schemas.microsoft.com/office/drawing/2014/main" id="{63796FE1-E900-4343-8C09-315D5DE97A56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72" name="Host Control  34">
          <a:extLst>
            <a:ext uri="{FF2B5EF4-FFF2-40B4-BE49-F238E27FC236}">
              <a16:creationId xmlns:a16="http://schemas.microsoft.com/office/drawing/2014/main" id="{6707B4B1-7FEF-4A16-8FF1-FDBA8D1A40FB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73" name="Host Control  36">
          <a:extLst>
            <a:ext uri="{FF2B5EF4-FFF2-40B4-BE49-F238E27FC236}">
              <a16:creationId xmlns:a16="http://schemas.microsoft.com/office/drawing/2014/main" id="{C1593234-6D92-45FA-89FA-1890A6AB0B0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74" name="Host Control  37">
          <a:extLst>
            <a:ext uri="{FF2B5EF4-FFF2-40B4-BE49-F238E27FC236}">
              <a16:creationId xmlns:a16="http://schemas.microsoft.com/office/drawing/2014/main" id="{3B0E6DD2-F469-4AB6-9AC5-2C117014E5F4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75" name="Host Control  38">
          <a:extLst>
            <a:ext uri="{FF2B5EF4-FFF2-40B4-BE49-F238E27FC236}">
              <a16:creationId xmlns:a16="http://schemas.microsoft.com/office/drawing/2014/main" id="{0CFF9453-A0E9-4014-A1C5-D0BF0ECD0944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76" name="Host Control  40">
          <a:extLst>
            <a:ext uri="{FF2B5EF4-FFF2-40B4-BE49-F238E27FC236}">
              <a16:creationId xmlns:a16="http://schemas.microsoft.com/office/drawing/2014/main" id="{D47A0D22-D1FD-47CA-BD04-B0B25798BD8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77" name="Host Control  41">
          <a:extLst>
            <a:ext uri="{FF2B5EF4-FFF2-40B4-BE49-F238E27FC236}">
              <a16:creationId xmlns:a16="http://schemas.microsoft.com/office/drawing/2014/main" id="{5EFE723F-5E20-4FE0-A1DB-4407FDD255EC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78" name="Host Control  42">
          <a:extLst>
            <a:ext uri="{FF2B5EF4-FFF2-40B4-BE49-F238E27FC236}">
              <a16:creationId xmlns:a16="http://schemas.microsoft.com/office/drawing/2014/main" id="{A41C9DF7-E601-4323-98A7-EF74F476115C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79" name="Host Control  44">
          <a:extLst>
            <a:ext uri="{FF2B5EF4-FFF2-40B4-BE49-F238E27FC236}">
              <a16:creationId xmlns:a16="http://schemas.microsoft.com/office/drawing/2014/main" id="{8DC7BA51-ECEE-403F-8C9B-21EB4937828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480" name="Host Control  45">
          <a:extLst>
            <a:ext uri="{FF2B5EF4-FFF2-40B4-BE49-F238E27FC236}">
              <a16:creationId xmlns:a16="http://schemas.microsoft.com/office/drawing/2014/main" id="{A62415E7-C672-42B2-B16E-FF90C5555C67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481" name="Host Control  46">
          <a:extLst>
            <a:ext uri="{FF2B5EF4-FFF2-40B4-BE49-F238E27FC236}">
              <a16:creationId xmlns:a16="http://schemas.microsoft.com/office/drawing/2014/main" id="{324E7D6A-E0B0-4CE2-AC63-AE6A68DDFA6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82" name="Host Control  5">
          <a:extLst>
            <a:ext uri="{FF2B5EF4-FFF2-40B4-BE49-F238E27FC236}">
              <a16:creationId xmlns:a16="http://schemas.microsoft.com/office/drawing/2014/main" id="{9354674A-22EB-4405-8763-C436E238747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83" name="Host Control  6">
          <a:extLst>
            <a:ext uri="{FF2B5EF4-FFF2-40B4-BE49-F238E27FC236}">
              <a16:creationId xmlns:a16="http://schemas.microsoft.com/office/drawing/2014/main" id="{1C1F68CC-E7E4-4893-9EC5-E55C91C2238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84" name="Host Control  7">
          <a:extLst>
            <a:ext uri="{FF2B5EF4-FFF2-40B4-BE49-F238E27FC236}">
              <a16:creationId xmlns:a16="http://schemas.microsoft.com/office/drawing/2014/main" id="{E0B7B36A-BB6A-448B-9D31-62C26C4432EA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85" name="Host Control  12">
          <a:extLst>
            <a:ext uri="{FF2B5EF4-FFF2-40B4-BE49-F238E27FC236}">
              <a16:creationId xmlns:a16="http://schemas.microsoft.com/office/drawing/2014/main" id="{6D3AE31E-FD0C-413E-B677-29E2ECFE6C5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86" name="Host Control  13">
          <a:extLst>
            <a:ext uri="{FF2B5EF4-FFF2-40B4-BE49-F238E27FC236}">
              <a16:creationId xmlns:a16="http://schemas.microsoft.com/office/drawing/2014/main" id="{68732F8D-AB31-4F4D-8D79-6882E78ABA7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87" name="Host Control  14">
          <a:extLst>
            <a:ext uri="{FF2B5EF4-FFF2-40B4-BE49-F238E27FC236}">
              <a16:creationId xmlns:a16="http://schemas.microsoft.com/office/drawing/2014/main" id="{B5C7E1A4-A465-437B-B989-3EA6F599C44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88" name="Host Control  16">
          <a:extLst>
            <a:ext uri="{FF2B5EF4-FFF2-40B4-BE49-F238E27FC236}">
              <a16:creationId xmlns:a16="http://schemas.microsoft.com/office/drawing/2014/main" id="{58181743-0079-4DEC-969E-271D7EFEF12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89" name="Host Control  17">
          <a:extLst>
            <a:ext uri="{FF2B5EF4-FFF2-40B4-BE49-F238E27FC236}">
              <a16:creationId xmlns:a16="http://schemas.microsoft.com/office/drawing/2014/main" id="{6217B3A3-13E9-4509-8EBB-71DDBBFEA00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90" name="Host Control  18">
          <a:extLst>
            <a:ext uri="{FF2B5EF4-FFF2-40B4-BE49-F238E27FC236}">
              <a16:creationId xmlns:a16="http://schemas.microsoft.com/office/drawing/2014/main" id="{5FC332F1-5C6C-411D-87E1-CDF380C3B786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91" name="Host Control  20">
          <a:extLst>
            <a:ext uri="{FF2B5EF4-FFF2-40B4-BE49-F238E27FC236}">
              <a16:creationId xmlns:a16="http://schemas.microsoft.com/office/drawing/2014/main" id="{028B8AB6-BD93-4DA0-8F90-D62E7C5CD49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92" name="Host Control  21">
          <a:extLst>
            <a:ext uri="{FF2B5EF4-FFF2-40B4-BE49-F238E27FC236}">
              <a16:creationId xmlns:a16="http://schemas.microsoft.com/office/drawing/2014/main" id="{78AC10B3-84D3-4AD9-B626-5C7DCC4332B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93" name="Host Control  22">
          <a:extLst>
            <a:ext uri="{FF2B5EF4-FFF2-40B4-BE49-F238E27FC236}">
              <a16:creationId xmlns:a16="http://schemas.microsoft.com/office/drawing/2014/main" id="{42887952-EAB6-4150-8678-767D397D8EF2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94" name="Host Control  24">
          <a:extLst>
            <a:ext uri="{FF2B5EF4-FFF2-40B4-BE49-F238E27FC236}">
              <a16:creationId xmlns:a16="http://schemas.microsoft.com/office/drawing/2014/main" id="{921B8A32-26EB-4634-9192-1D9ED15FBEE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95" name="Host Control  25">
          <a:extLst>
            <a:ext uri="{FF2B5EF4-FFF2-40B4-BE49-F238E27FC236}">
              <a16:creationId xmlns:a16="http://schemas.microsoft.com/office/drawing/2014/main" id="{1577E736-82C6-40FB-A6B1-404F5D93EBB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96" name="Host Control  26">
          <a:extLst>
            <a:ext uri="{FF2B5EF4-FFF2-40B4-BE49-F238E27FC236}">
              <a16:creationId xmlns:a16="http://schemas.microsoft.com/office/drawing/2014/main" id="{80589306-75C9-4AC4-8282-130CD6476763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97" name="Host Control  28">
          <a:extLst>
            <a:ext uri="{FF2B5EF4-FFF2-40B4-BE49-F238E27FC236}">
              <a16:creationId xmlns:a16="http://schemas.microsoft.com/office/drawing/2014/main" id="{AEC50CF4-0A3F-47B3-9686-A14F25EDD05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498" name="Host Control  29">
          <a:extLst>
            <a:ext uri="{FF2B5EF4-FFF2-40B4-BE49-F238E27FC236}">
              <a16:creationId xmlns:a16="http://schemas.microsoft.com/office/drawing/2014/main" id="{F8030338-8631-4C77-8E4A-FB65AB494FD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499" name="Host Control  30">
          <a:extLst>
            <a:ext uri="{FF2B5EF4-FFF2-40B4-BE49-F238E27FC236}">
              <a16:creationId xmlns:a16="http://schemas.microsoft.com/office/drawing/2014/main" id="{7AB329E5-AFA0-4AEB-99DE-D51E1113CBB5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00" name="Host Control  32">
          <a:extLst>
            <a:ext uri="{FF2B5EF4-FFF2-40B4-BE49-F238E27FC236}">
              <a16:creationId xmlns:a16="http://schemas.microsoft.com/office/drawing/2014/main" id="{F91D2488-7E58-4C60-8979-0D37FCFEBEB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01" name="Host Control  33">
          <a:extLst>
            <a:ext uri="{FF2B5EF4-FFF2-40B4-BE49-F238E27FC236}">
              <a16:creationId xmlns:a16="http://schemas.microsoft.com/office/drawing/2014/main" id="{7C0FC8D3-9E3A-47AC-A5E5-A62EC045147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02" name="Host Control  34">
          <a:extLst>
            <a:ext uri="{FF2B5EF4-FFF2-40B4-BE49-F238E27FC236}">
              <a16:creationId xmlns:a16="http://schemas.microsoft.com/office/drawing/2014/main" id="{DF50DF78-DA49-4B9B-B8B6-FABFACBCEA37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03" name="Host Control  36">
          <a:extLst>
            <a:ext uri="{FF2B5EF4-FFF2-40B4-BE49-F238E27FC236}">
              <a16:creationId xmlns:a16="http://schemas.microsoft.com/office/drawing/2014/main" id="{5F43152E-8747-4E04-9298-39EFCF428D2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04" name="Host Control  37">
          <a:extLst>
            <a:ext uri="{FF2B5EF4-FFF2-40B4-BE49-F238E27FC236}">
              <a16:creationId xmlns:a16="http://schemas.microsoft.com/office/drawing/2014/main" id="{AEF91B44-B750-4428-A312-55DEB77EB0B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05" name="Host Control  38">
          <a:extLst>
            <a:ext uri="{FF2B5EF4-FFF2-40B4-BE49-F238E27FC236}">
              <a16:creationId xmlns:a16="http://schemas.microsoft.com/office/drawing/2014/main" id="{D3BA42C2-DFC8-47FB-BE7D-F7C790B18968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06" name="Host Control  40">
          <a:extLst>
            <a:ext uri="{FF2B5EF4-FFF2-40B4-BE49-F238E27FC236}">
              <a16:creationId xmlns:a16="http://schemas.microsoft.com/office/drawing/2014/main" id="{295D6B18-D327-4B3A-B0C3-D6621733FE5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07" name="Host Control  41">
          <a:extLst>
            <a:ext uri="{FF2B5EF4-FFF2-40B4-BE49-F238E27FC236}">
              <a16:creationId xmlns:a16="http://schemas.microsoft.com/office/drawing/2014/main" id="{2D26563B-DBEF-49D8-B6FD-1E738EE3D1A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08" name="Host Control  42">
          <a:extLst>
            <a:ext uri="{FF2B5EF4-FFF2-40B4-BE49-F238E27FC236}">
              <a16:creationId xmlns:a16="http://schemas.microsoft.com/office/drawing/2014/main" id="{A5D0FE45-B230-462D-B710-C270655DF2C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09" name="Host Control  44">
          <a:extLst>
            <a:ext uri="{FF2B5EF4-FFF2-40B4-BE49-F238E27FC236}">
              <a16:creationId xmlns:a16="http://schemas.microsoft.com/office/drawing/2014/main" id="{EAE6E165-4591-414B-9220-0F9718A5DC1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10" name="Host Control  45">
          <a:extLst>
            <a:ext uri="{FF2B5EF4-FFF2-40B4-BE49-F238E27FC236}">
              <a16:creationId xmlns:a16="http://schemas.microsoft.com/office/drawing/2014/main" id="{1E61CDF9-142D-4452-93FD-F5C4867457C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11" name="Host Control  46">
          <a:extLst>
            <a:ext uri="{FF2B5EF4-FFF2-40B4-BE49-F238E27FC236}">
              <a16:creationId xmlns:a16="http://schemas.microsoft.com/office/drawing/2014/main" id="{FB9417E1-EBB6-4352-83C3-E9E241F63096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12" name="Host Control  5">
          <a:extLst>
            <a:ext uri="{FF2B5EF4-FFF2-40B4-BE49-F238E27FC236}">
              <a16:creationId xmlns:a16="http://schemas.microsoft.com/office/drawing/2014/main" id="{395C6CAC-E6E2-4D35-80D1-92F32ED8012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13" name="Host Control  6">
          <a:extLst>
            <a:ext uri="{FF2B5EF4-FFF2-40B4-BE49-F238E27FC236}">
              <a16:creationId xmlns:a16="http://schemas.microsoft.com/office/drawing/2014/main" id="{46E772D3-DEF1-4719-BFE0-A9D9322AA338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14" name="Host Control  7">
          <a:extLst>
            <a:ext uri="{FF2B5EF4-FFF2-40B4-BE49-F238E27FC236}">
              <a16:creationId xmlns:a16="http://schemas.microsoft.com/office/drawing/2014/main" id="{E0F6121C-3FA8-4E18-B6EB-CA657408CC59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15" name="Host Control  12">
          <a:extLst>
            <a:ext uri="{FF2B5EF4-FFF2-40B4-BE49-F238E27FC236}">
              <a16:creationId xmlns:a16="http://schemas.microsoft.com/office/drawing/2014/main" id="{02C198C4-3C0D-4F47-9FEC-99FCF9D2E8F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16" name="Host Control  13">
          <a:extLst>
            <a:ext uri="{FF2B5EF4-FFF2-40B4-BE49-F238E27FC236}">
              <a16:creationId xmlns:a16="http://schemas.microsoft.com/office/drawing/2014/main" id="{6FBFC4B0-0B26-4BF1-8652-E4011C4367CB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17" name="Host Control  14">
          <a:extLst>
            <a:ext uri="{FF2B5EF4-FFF2-40B4-BE49-F238E27FC236}">
              <a16:creationId xmlns:a16="http://schemas.microsoft.com/office/drawing/2014/main" id="{DE88064A-99C1-4D4A-9AF1-CBDA5CF2BD83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18" name="Host Control  16">
          <a:extLst>
            <a:ext uri="{FF2B5EF4-FFF2-40B4-BE49-F238E27FC236}">
              <a16:creationId xmlns:a16="http://schemas.microsoft.com/office/drawing/2014/main" id="{7713FF33-4A4C-4DDD-BEF7-1F40F413829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19" name="Host Control  17">
          <a:extLst>
            <a:ext uri="{FF2B5EF4-FFF2-40B4-BE49-F238E27FC236}">
              <a16:creationId xmlns:a16="http://schemas.microsoft.com/office/drawing/2014/main" id="{DEF9E75B-A892-4C64-BCF9-E643B0C4007A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20" name="Host Control  18">
          <a:extLst>
            <a:ext uri="{FF2B5EF4-FFF2-40B4-BE49-F238E27FC236}">
              <a16:creationId xmlns:a16="http://schemas.microsoft.com/office/drawing/2014/main" id="{AA41E6D5-5E07-4BB2-8C8B-9AAE41587403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21" name="Host Control  20">
          <a:extLst>
            <a:ext uri="{FF2B5EF4-FFF2-40B4-BE49-F238E27FC236}">
              <a16:creationId xmlns:a16="http://schemas.microsoft.com/office/drawing/2014/main" id="{4750B3D4-06DA-4653-BB1E-A2327EE3CED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22" name="Host Control  21">
          <a:extLst>
            <a:ext uri="{FF2B5EF4-FFF2-40B4-BE49-F238E27FC236}">
              <a16:creationId xmlns:a16="http://schemas.microsoft.com/office/drawing/2014/main" id="{3534CCB1-B8D2-4061-809D-5B0CFDBB1C4C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23" name="Host Control  22">
          <a:extLst>
            <a:ext uri="{FF2B5EF4-FFF2-40B4-BE49-F238E27FC236}">
              <a16:creationId xmlns:a16="http://schemas.microsoft.com/office/drawing/2014/main" id="{D3A4F215-148D-4EFD-A7B3-3F631BA7DE3C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24" name="Host Control  24">
          <a:extLst>
            <a:ext uri="{FF2B5EF4-FFF2-40B4-BE49-F238E27FC236}">
              <a16:creationId xmlns:a16="http://schemas.microsoft.com/office/drawing/2014/main" id="{A470C0FF-B40A-4344-83F3-39C0841EC17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25" name="Host Control  25">
          <a:extLst>
            <a:ext uri="{FF2B5EF4-FFF2-40B4-BE49-F238E27FC236}">
              <a16:creationId xmlns:a16="http://schemas.microsoft.com/office/drawing/2014/main" id="{949B8FD5-C8E8-4E04-9FEC-907BC88F748B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26" name="Host Control  26">
          <a:extLst>
            <a:ext uri="{FF2B5EF4-FFF2-40B4-BE49-F238E27FC236}">
              <a16:creationId xmlns:a16="http://schemas.microsoft.com/office/drawing/2014/main" id="{B0505D05-22BC-420F-A873-EA953F534DBA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27" name="Host Control  28">
          <a:extLst>
            <a:ext uri="{FF2B5EF4-FFF2-40B4-BE49-F238E27FC236}">
              <a16:creationId xmlns:a16="http://schemas.microsoft.com/office/drawing/2014/main" id="{B6FE9E40-F570-452D-97A6-C399F48FE61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28" name="Host Control  29">
          <a:extLst>
            <a:ext uri="{FF2B5EF4-FFF2-40B4-BE49-F238E27FC236}">
              <a16:creationId xmlns:a16="http://schemas.microsoft.com/office/drawing/2014/main" id="{82D075BA-2904-446E-917D-4DBAF922139C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29" name="Host Control  30">
          <a:extLst>
            <a:ext uri="{FF2B5EF4-FFF2-40B4-BE49-F238E27FC236}">
              <a16:creationId xmlns:a16="http://schemas.microsoft.com/office/drawing/2014/main" id="{1CBFF8E8-90D6-4F89-AB31-FFC0479C9DDA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30" name="Host Control  32">
          <a:extLst>
            <a:ext uri="{FF2B5EF4-FFF2-40B4-BE49-F238E27FC236}">
              <a16:creationId xmlns:a16="http://schemas.microsoft.com/office/drawing/2014/main" id="{47713F5E-5D01-4664-85F7-1267DDD70F6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31" name="Host Control  33">
          <a:extLst>
            <a:ext uri="{FF2B5EF4-FFF2-40B4-BE49-F238E27FC236}">
              <a16:creationId xmlns:a16="http://schemas.microsoft.com/office/drawing/2014/main" id="{1C1F4F60-1BF5-418D-82D6-A8508F5E0450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32" name="Host Control  34">
          <a:extLst>
            <a:ext uri="{FF2B5EF4-FFF2-40B4-BE49-F238E27FC236}">
              <a16:creationId xmlns:a16="http://schemas.microsoft.com/office/drawing/2014/main" id="{A5DCBEEA-B4DD-4E1D-90CC-285DB802F5A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33" name="Host Control  36">
          <a:extLst>
            <a:ext uri="{FF2B5EF4-FFF2-40B4-BE49-F238E27FC236}">
              <a16:creationId xmlns:a16="http://schemas.microsoft.com/office/drawing/2014/main" id="{64727905-10FD-46F0-8AC8-58610E87BFC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34" name="Host Control  37">
          <a:extLst>
            <a:ext uri="{FF2B5EF4-FFF2-40B4-BE49-F238E27FC236}">
              <a16:creationId xmlns:a16="http://schemas.microsoft.com/office/drawing/2014/main" id="{D2C16224-D0D6-4BB9-96DF-DE98774E9BC5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35" name="Host Control  38">
          <a:extLst>
            <a:ext uri="{FF2B5EF4-FFF2-40B4-BE49-F238E27FC236}">
              <a16:creationId xmlns:a16="http://schemas.microsoft.com/office/drawing/2014/main" id="{55674894-361C-48BD-B8EB-4C2902FA0C0D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36" name="Host Control  40">
          <a:extLst>
            <a:ext uri="{FF2B5EF4-FFF2-40B4-BE49-F238E27FC236}">
              <a16:creationId xmlns:a16="http://schemas.microsoft.com/office/drawing/2014/main" id="{F09A82D1-40CA-45DB-9C22-1E851EAE972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37" name="Host Control  41">
          <a:extLst>
            <a:ext uri="{FF2B5EF4-FFF2-40B4-BE49-F238E27FC236}">
              <a16:creationId xmlns:a16="http://schemas.microsoft.com/office/drawing/2014/main" id="{B9C90D79-85BA-410B-B1A0-B89834D62D6B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38" name="Host Control  42">
          <a:extLst>
            <a:ext uri="{FF2B5EF4-FFF2-40B4-BE49-F238E27FC236}">
              <a16:creationId xmlns:a16="http://schemas.microsoft.com/office/drawing/2014/main" id="{E8DA4D4A-8E59-4FDC-81A6-2906691E0A14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39" name="Host Control  44">
          <a:extLst>
            <a:ext uri="{FF2B5EF4-FFF2-40B4-BE49-F238E27FC236}">
              <a16:creationId xmlns:a16="http://schemas.microsoft.com/office/drawing/2014/main" id="{2107D8FF-0593-4E1E-914F-7AAAB2E5508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40" name="Host Control  45">
          <a:extLst>
            <a:ext uri="{FF2B5EF4-FFF2-40B4-BE49-F238E27FC236}">
              <a16:creationId xmlns:a16="http://schemas.microsoft.com/office/drawing/2014/main" id="{46A0E495-9A0A-48A6-8EF7-38C122B3013F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41" name="Host Control  46">
          <a:extLst>
            <a:ext uri="{FF2B5EF4-FFF2-40B4-BE49-F238E27FC236}">
              <a16:creationId xmlns:a16="http://schemas.microsoft.com/office/drawing/2014/main" id="{27128507-3F52-4A7F-BB98-5B4B6C493645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42" name="Host Control  5">
          <a:extLst>
            <a:ext uri="{FF2B5EF4-FFF2-40B4-BE49-F238E27FC236}">
              <a16:creationId xmlns:a16="http://schemas.microsoft.com/office/drawing/2014/main" id="{B1080FD8-9EB4-45BA-9494-24093B468E9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43" name="Host Control  6">
          <a:extLst>
            <a:ext uri="{FF2B5EF4-FFF2-40B4-BE49-F238E27FC236}">
              <a16:creationId xmlns:a16="http://schemas.microsoft.com/office/drawing/2014/main" id="{1F6EC1ED-1D74-471A-9072-8DAA8F342DE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44" name="Host Control  7">
          <a:extLst>
            <a:ext uri="{FF2B5EF4-FFF2-40B4-BE49-F238E27FC236}">
              <a16:creationId xmlns:a16="http://schemas.microsoft.com/office/drawing/2014/main" id="{82F00E5F-7D59-450E-9E20-9DC669943433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45" name="Host Control  12">
          <a:extLst>
            <a:ext uri="{FF2B5EF4-FFF2-40B4-BE49-F238E27FC236}">
              <a16:creationId xmlns:a16="http://schemas.microsoft.com/office/drawing/2014/main" id="{950FF6CB-8309-4551-8CFA-BC9C304CFC5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46" name="Host Control  13">
          <a:extLst>
            <a:ext uri="{FF2B5EF4-FFF2-40B4-BE49-F238E27FC236}">
              <a16:creationId xmlns:a16="http://schemas.microsoft.com/office/drawing/2014/main" id="{9284F72B-45E8-4190-9784-EF79B2CC192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47" name="Host Control  14">
          <a:extLst>
            <a:ext uri="{FF2B5EF4-FFF2-40B4-BE49-F238E27FC236}">
              <a16:creationId xmlns:a16="http://schemas.microsoft.com/office/drawing/2014/main" id="{28F262C4-8608-4324-BFF8-31259032A82A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48" name="Host Control  16">
          <a:extLst>
            <a:ext uri="{FF2B5EF4-FFF2-40B4-BE49-F238E27FC236}">
              <a16:creationId xmlns:a16="http://schemas.microsoft.com/office/drawing/2014/main" id="{8CB2FA96-2764-49D6-9241-4863FB339D4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49" name="Host Control  17">
          <a:extLst>
            <a:ext uri="{FF2B5EF4-FFF2-40B4-BE49-F238E27FC236}">
              <a16:creationId xmlns:a16="http://schemas.microsoft.com/office/drawing/2014/main" id="{F6DE69B1-7B97-469F-BEE8-81A34F84BAC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50" name="Host Control  18">
          <a:extLst>
            <a:ext uri="{FF2B5EF4-FFF2-40B4-BE49-F238E27FC236}">
              <a16:creationId xmlns:a16="http://schemas.microsoft.com/office/drawing/2014/main" id="{93454854-1C22-4B98-BF4C-524539BE2188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51" name="Host Control  20">
          <a:extLst>
            <a:ext uri="{FF2B5EF4-FFF2-40B4-BE49-F238E27FC236}">
              <a16:creationId xmlns:a16="http://schemas.microsoft.com/office/drawing/2014/main" id="{43BFA505-C023-4B66-8654-2169B56891F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52" name="Host Control  21">
          <a:extLst>
            <a:ext uri="{FF2B5EF4-FFF2-40B4-BE49-F238E27FC236}">
              <a16:creationId xmlns:a16="http://schemas.microsoft.com/office/drawing/2014/main" id="{05EFBEAB-65CC-4C36-94EB-55317288EC0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53" name="Host Control  22">
          <a:extLst>
            <a:ext uri="{FF2B5EF4-FFF2-40B4-BE49-F238E27FC236}">
              <a16:creationId xmlns:a16="http://schemas.microsoft.com/office/drawing/2014/main" id="{2D28A9F7-78C4-4D23-91C8-46B27B5DC95D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54" name="Host Control  24">
          <a:extLst>
            <a:ext uri="{FF2B5EF4-FFF2-40B4-BE49-F238E27FC236}">
              <a16:creationId xmlns:a16="http://schemas.microsoft.com/office/drawing/2014/main" id="{5477E22E-5EC8-4C08-8179-AE5E4C2E5BA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55" name="Host Control  25">
          <a:extLst>
            <a:ext uri="{FF2B5EF4-FFF2-40B4-BE49-F238E27FC236}">
              <a16:creationId xmlns:a16="http://schemas.microsoft.com/office/drawing/2014/main" id="{7DB3C7CD-976E-4985-B3AD-C4FD1482DA2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56" name="Host Control  26">
          <a:extLst>
            <a:ext uri="{FF2B5EF4-FFF2-40B4-BE49-F238E27FC236}">
              <a16:creationId xmlns:a16="http://schemas.microsoft.com/office/drawing/2014/main" id="{756C2330-3283-4343-AD62-99D52AC0E86F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57" name="Host Control  28">
          <a:extLst>
            <a:ext uri="{FF2B5EF4-FFF2-40B4-BE49-F238E27FC236}">
              <a16:creationId xmlns:a16="http://schemas.microsoft.com/office/drawing/2014/main" id="{F363DAEE-9B24-4223-8CC6-EA0AE6B32A6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58" name="Host Control  29">
          <a:extLst>
            <a:ext uri="{FF2B5EF4-FFF2-40B4-BE49-F238E27FC236}">
              <a16:creationId xmlns:a16="http://schemas.microsoft.com/office/drawing/2014/main" id="{BF87446C-9CDF-483F-A3A1-42BD800F7B3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59" name="Host Control  30">
          <a:extLst>
            <a:ext uri="{FF2B5EF4-FFF2-40B4-BE49-F238E27FC236}">
              <a16:creationId xmlns:a16="http://schemas.microsoft.com/office/drawing/2014/main" id="{C68F7A30-D389-44BF-8460-5E4B314274D3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60" name="Host Control  32">
          <a:extLst>
            <a:ext uri="{FF2B5EF4-FFF2-40B4-BE49-F238E27FC236}">
              <a16:creationId xmlns:a16="http://schemas.microsoft.com/office/drawing/2014/main" id="{EA998964-4B8E-4FA9-9D98-2CE21B124B9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61" name="Host Control  33">
          <a:extLst>
            <a:ext uri="{FF2B5EF4-FFF2-40B4-BE49-F238E27FC236}">
              <a16:creationId xmlns:a16="http://schemas.microsoft.com/office/drawing/2014/main" id="{4C94E1D7-E73A-4986-8F64-0060418FEC5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62" name="Host Control  34">
          <a:extLst>
            <a:ext uri="{FF2B5EF4-FFF2-40B4-BE49-F238E27FC236}">
              <a16:creationId xmlns:a16="http://schemas.microsoft.com/office/drawing/2014/main" id="{B9BC0161-745B-4A59-803C-1CDCFF909C6A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63" name="Host Control  36">
          <a:extLst>
            <a:ext uri="{FF2B5EF4-FFF2-40B4-BE49-F238E27FC236}">
              <a16:creationId xmlns:a16="http://schemas.microsoft.com/office/drawing/2014/main" id="{C85AE7FA-BD3D-4D0E-8AC0-2436B9C374A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64" name="Host Control  37">
          <a:extLst>
            <a:ext uri="{FF2B5EF4-FFF2-40B4-BE49-F238E27FC236}">
              <a16:creationId xmlns:a16="http://schemas.microsoft.com/office/drawing/2014/main" id="{7922E9F0-80D2-4F6B-B9F6-CD3EF0D2803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65" name="Host Control  38">
          <a:extLst>
            <a:ext uri="{FF2B5EF4-FFF2-40B4-BE49-F238E27FC236}">
              <a16:creationId xmlns:a16="http://schemas.microsoft.com/office/drawing/2014/main" id="{E7EFD0C8-352A-4A91-959E-9BC3EFE06BC8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66" name="Host Control  40">
          <a:extLst>
            <a:ext uri="{FF2B5EF4-FFF2-40B4-BE49-F238E27FC236}">
              <a16:creationId xmlns:a16="http://schemas.microsoft.com/office/drawing/2014/main" id="{C7C0847C-D4E4-44D5-8098-B5C8041161C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67" name="Host Control  41">
          <a:extLst>
            <a:ext uri="{FF2B5EF4-FFF2-40B4-BE49-F238E27FC236}">
              <a16:creationId xmlns:a16="http://schemas.microsoft.com/office/drawing/2014/main" id="{18D14627-DFAE-4F63-99A8-DBB4CCF7CB1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68" name="Host Control  42">
          <a:extLst>
            <a:ext uri="{FF2B5EF4-FFF2-40B4-BE49-F238E27FC236}">
              <a16:creationId xmlns:a16="http://schemas.microsoft.com/office/drawing/2014/main" id="{D22E297A-57E8-440B-8219-858EC842F3DB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69" name="Host Control  44">
          <a:extLst>
            <a:ext uri="{FF2B5EF4-FFF2-40B4-BE49-F238E27FC236}">
              <a16:creationId xmlns:a16="http://schemas.microsoft.com/office/drawing/2014/main" id="{B4F72A3D-9269-4997-9FBB-DC3816492F1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70" name="Host Control  45">
          <a:extLst>
            <a:ext uri="{FF2B5EF4-FFF2-40B4-BE49-F238E27FC236}">
              <a16:creationId xmlns:a16="http://schemas.microsoft.com/office/drawing/2014/main" id="{A4205547-88A3-4D7D-B275-C74688627E8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571" name="Host Control  46">
          <a:extLst>
            <a:ext uri="{FF2B5EF4-FFF2-40B4-BE49-F238E27FC236}">
              <a16:creationId xmlns:a16="http://schemas.microsoft.com/office/drawing/2014/main" id="{74CAB7D6-6C9D-44A5-87FE-D3B7BC6681E5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72" name="Host Control  5">
          <a:extLst>
            <a:ext uri="{FF2B5EF4-FFF2-40B4-BE49-F238E27FC236}">
              <a16:creationId xmlns:a16="http://schemas.microsoft.com/office/drawing/2014/main" id="{B2045600-01C2-49A6-B6E4-B2B1C159A7D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73" name="Host Control  6">
          <a:extLst>
            <a:ext uri="{FF2B5EF4-FFF2-40B4-BE49-F238E27FC236}">
              <a16:creationId xmlns:a16="http://schemas.microsoft.com/office/drawing/2014/main" id="{C5DC3FF8-B01E-49BE-A5CA-45A9B1E9BCF9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74" name="Host Control  7">
          <a:extLst>
            <a:ext uri="{FF2B5EF4-FFF2-40B4-BE49-F238E27FC236}">
              <a16:creationId xmlns:a16="http://schemas.microsoft.com/office/drawing/2014/main" id="{4BFCD118-DD3A-4BEA-B5B6-2B9E50C85932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75" name="Host Control  12">
          <a:extLst>
            <a:ext uri="{FF2B5EF4-FFF2-40B4-BE49-F238E27FC236}">
              <a16:creationId xmlns:a16="http://schemas.microsoft.com/office/drawing/2014/main" id="{5C7328A7-5523-44BC-B35C-9117C8CCAA3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76" name="Host Control  13">
          <a:extLst>
            <a:ext uri="{FF2B5EF4-FFF2-40B4-BE49-F238E27FC236}">
              <a16:creationId xmlns:a16="http://schemas.microsoft.com/office/drawing/2014/main" id="{93F8B8C8-EE51-46A1-AA72-B6E71F1838B9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77" name="Host Control  14">
          <a:extLst>
            <a:ext uri="{FF2B5EF4-FFF2-40B4-BE49-F238E27FC236}">
              <a16:creationId xmlns:a16="http://schemas.microsoft.com/office/drawing/2014/main" id="{1624182E-9B99-478E-8DEA-E605C2159C40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78" name="Host Control  16">
          <a:extLst>
            <a:ext uri="{FF2B5EF4-FFF2-40B4-BE49-F238E27FC236}">
              <a16:creationId xmlns:a16="http://schemas.microsoft.com/office/drawing/2014/main" id="{25FE7754-60B6-4D57-8216-67EA384896E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79" name="Host Control  17">
          <a:extLst>
            <a:ext uri="{FF2B5EF4-FFF2-40B4-BE49-F238E27FC236}">
              <a16:creationId xmlns:a16="http://schemas.microsoft.com/office/drawing/2014/main" id="{4BD8AAFA-568F-4663-9046-41FDA9DF1A8D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80" name="Host Control  18">
          <a:extLst>
            <a:ext uri="{FF2B5EF4-FFF2-40B4-BE49-F238E27FC236}">
              <a16:creationId xmlns:a16="http://schemas.microsoft.com/office/drawing/2014/main" id="{C1683C02-B69F-4FA8-B61C-D933E3CC8573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81" name="Host Control  20">
          <a:extLst>
            <a:ext uri="{FF2B5EF4-FFF2-40B4-BE49-F238E27FC236}">
              <a16:creationId xmlns:a16="http://schemas.microsoft.com/office/drawing/2014/main" id="{39821F0C-F61B-4170-BD2C-B9103D307EE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82" name="Host Control  21">
          <a:extLst>
            <a:ext uri="{FF2B5EF4-FFF2-40B4-BE49-F238E27FC236}">
              <a16:creationId xmlns:a16="http://schemas.microsoft.com/office/drawing/2014/main" id="{F69E669D-815E-43CE-B7DC-85FE2FDD7F7F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83" name="Host Control  22">
          <a:extLst>
            <a:ext uri="{FF2B5EF4-FFF2-40B4-BE49-F238E27FC236}">
              <a16:creationId xmlns:a16="http://schemas.microsoft.com/office/drawing/2014/main" id="{B41A567D-12B1-45E0-8DCF-152606E3DFE5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84" name="Host Control  24">
          <a:extLst>
            <a:ext uri="{FF2B5EF4-FFF2-40B4-BE49-F238E27FC236}">
              <a16:creationId xmlns:a16="http://schemas.microsoft.com/office/drawing/2014/main" id="{D0C4EAAC-0DA8-408F-8970-E4FE75C903D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85" name="Host Control  25">
          <a:extLst>
            <a:ext uri="{FF2B5EF4-FFF2-40B4-BE49-F238E27FC236}">
              <a16:creationId xmlns:a16="http://schemas.microsoft.com/office/drawing/2014/main" id="{4CC9B91D-98E2-4541-BC38-129F62423CF9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86" name="Host Control  26">
          <a:extLst>
            <a:ext uri="{FF2B5EF4-FFF2-40B4-BE49-F238E27FC236}">
              <a16:creationId xmlns:a16="http://schemas.microsoft.com/office/drawing/2014/main" id="{7D975C24-263B-42EE-AC93-A096E45C728C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87" name="Host Control  28">
          <a:extLst>
            <a:ext uri="{FF2B5EF4-FFF2-40B4-BE49-F238E27FC236}">
              <a16:creationId xmlns:a16="http://schemas.microsoft.com/office/drawing/2014/main" id="{F44D990D-84E4-424E-BC58-2604B29E9A0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88" name="Host Control  29">
          <a:extLst>
            <a:ext uri="{FF2B5EF4-FFF2-40B4-BE49-F238E27FC236}">
              <a16:creationId xmlns:a16="http://schemas.microsoft.com/office/drawing/2014/main" id="{9904EFF3-DC4B-4E55-8E21-C83041EE2B73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89" name="Host Control  30">
          <a:extLst>
            <a:ext uri="{FF2B5EF4-FFF2-40B4-BE49-F238E27FC236}">
              <a16:creationId xmlns:a16="http://schemas.microsoft.com/office/drawing/2014/main" id="{7718821F-5C0B-4B21-89A7-E3A51FC3755A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90" name="Host Control  32">
          <a:extLst>
            <a:ext uri="{FF2B5EF4-FFF2-40B4-BE49-F238E27FC236}">
              <a16:creationId xmlns:a16="http://schemas.microsoft.com/office/drawing/2014/main" id="{D10A29B8-D152-4E81-9F7B-0A8C69496B8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91" name="Host Control  33">
          <a:extLst>
            <a:ext uri="{FF2B5EF4-FFF2-40B4-BE49-F238E27FC236}">
              <a16:creationId xmlns:a16="http://schemas.microsoft.com/office/drawing/2014/main" id="{FCEC653C-3DF8-45B7-A115-9A219A34B59F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92" name="Host Control  34">
          <a:extLst>
            <a:ext uri="{FF2B5EF4-FFF2-40B4-BE49-F238E27FC236}">
              <a16:creationId xmlns:a16="http://schemas.microsoft.com/office/drawing/2014/main" id="{9229F3F9-6FAB-4112-8AF2-0D7C50B927B7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93" name="Host Control  36">
          <a:extLst>
            <a:ext uri="{FF2B5EF4-FFF2-40B4-BE49-F238E27FC236}">
              <a16:creationId xmlns:a16="http://schemas.microsoft.com/office/drawing/2014/main" id="{C1B8F6E7-B8DC-465A-9B57-1E59988F57A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94" name="Host Control  37">
          <a:extLst>
            <a:ext uri="{FF2B5EF4-FFF2-40B4-BE49-F238E27FC236}">
              <a16:creationId xmlns:a16="http://schemas.microsoft.com/office/drawing/2014/main" id="{0AD608A3-4E80-4204-A752-4758EA2877ED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95" name="Host Control  38">
          <a:extLst>
            <a:ext uri="{FF2B5EF4-FFF2-40B4-BE49-F238E27FC236}">
              <a16:creationId xmlns:a16="http://schemas.microsoft.com/office/drawing/2014/main" id="{D0D4BD86-6A9A-480C-B4A2-9353AE6447B4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96" name="Host Control  40">
          <a:extLst>
            <a:ext uri="{FF2B5EF4-FFF2-40B4-BE49-F238E27FC236}">
              <a16:creationId xmlns:a16="http://schemas.microsoft.com/office/drawing/2014/main" id="{AB385FC3-30EA-48C3-8572-F738AE80B90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597" name="Host Control  41">
          <a:extLst>
            <a:ext uri="{FF2B5EF4-FFF2-40B4-BE49-F238E27FC236}">
              <a16:creationId xmlns:a16="http://schemas.microsoft.com/office/drawing/2014/main" id="{3E977ED5-2FFF-496F-9AD3-5ED64EBDA632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598" name="Host Control  42">
          <a:extLst>
            <a:ext uri="{FF2B5EF4-FFF2-40B4-BE49-F238E27FC236}">
              <a16:creationId xmlns:a16="http://schemas.microsoft.com/office/drawing/2014/main" id="{D3155310-4A8D-40EF-AD64-BCFFC5B50EC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599" name="Host Control  44">
          <a:extLst>
            <a:ext uri="{FF2B5EF4-FFF2-40B4-BE49-F238E27FC236}">
              <a16:creationId xmlns:a16="http://schemas.microsoft.com/office/drawing/2014/main" id="{F2F7701B-5CE8-44AD-AAD7-F92505F43CF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00" name="Host Control  45">
          <a:extLst>
            <a:ext uri="{FF2B5EF4-FFF2-40B4-BE49-F238E27FC236}">
              <a16:creationId xmlns:a16="http://schemas.microsoft.com/office/drawing/2014/main" id="{2F50D87C-924C-42C0-B693-F100C76B88C3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01" name="Host Control  46">
          <a:extLst>
            <a:ext uri="{FF2B5EF4-FFF2-40B4-BE49-F238E27FC236}">
              <a16:creationId xmlns:a16="http://schemas.microsoft.com/office/drawing/2014/main" id="{C9F171DD-FF2C-42F6-84F5-514CF51E332E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02" name="Host Control  5">
          <a:extLst>
            <a:ext uri="{FF2B5EF4-FFF2-40B4-BE49-F238E27FC236}">
              <a16:creationId xmlns:a16="http://schemas.microsoft.com/office/drawing/2014/main" id="{1725FEEC-3F9B-463E-9A79-86C8AA28621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03" name="Host Control  6">
          <a:extLst>
            <a:ext uri="{FF2B5EF4-FFF2-40B4-BE49-F238E27FC236}">
              <a16:creationId xmlns:a16="http://schemas.microsoft.com/office/drawing/2014/main" id="{A0005CD5-2097-42C9-8A8B-CBCDBE27C99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04" name="Host Control  7">
          <a:extLst>
            <a:ext uri="{FF2B5EF4-FFF2-40B4-BE49-F238E27FC236}">
              <a16:creationId xmlns:a16="http://schemas.microsoft.com/office/drawing/2014/main" id="{2CA4799B-9ECC-4D07-91DC-651C85F0FEB0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05" name="Host Control  12">
          <a:extLst>
            <a:ext uri="{FF2B5EF4-FFF2-40B4-BE49-F238E27FC236}">
              <a16:creationId xmlns:a16="http://schemas.microsoft.com/office/drawing/2014/main" id="{0A7AADDE-A46E-478B-92E6-BEEDDDD8777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06" name="Host Control  13">
          <a:extLst>
            <a:ext uri="{FF2B5EF4-FFF2-40B4-BE49-F238E27FC236}">
              <a16:creationId xmlns:a16="http://schemas.microsoft.com/office/drawing/2014/main" id="{0A5CB1B5-6E35-45F1-8450-C0F77820856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07" name="Host Control  14">
          <a:extLst>
            <a:ext uri="{FF2B5EF4-FFF2-40B4-BE49-F238E27FC236}">
              <a16:creationId xmlns:a16="http://schemas.microsoft.com/office/drawing/2014/main" id="{3367A9A6-59C1-4DC6-8550-78D7126F57A3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08" name="Host Control  16">
          <a:extLst>
            <a:ext uri="{FF2B5EF4-FFF2-40B4-BE49-F238E27FC236}">
              <a16:creationId xmlns:a16="http://schemas.microsoft.com/office/drawing/2014/main" id="{0465AF98-CAD4-4D42-9137-A99EF553062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09" name="Host Control  17">
          <a:extLst>
            <a:ext uri="{FF2B5EF4-FFF2-40B4-BE49-F238E27FC236}">
              <a16:creationId xmlns:a16="http://schemas.microsoft.com/office/drawing/2014/main" id="{EF11533B-F68E-4864-BFAF-30B9B5BEA62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10" name="Host Control  18">
          <a:extLst>
            <a:ext uri="{FF2B5EF4-FFF2-40B4-BE49-F238E27FC236}">
              <a16:creationId xmlns:a16="http://schemas.microsoft.com/office/drawing/2014/main" id="{AB635BDB-BAC8-472A-8FD8-B619726C2884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11" name="Host Control  20">
          <a:extLst>
            <a:ext uri="{FF2B5EF4-FFF2-40B4-BE49-F238E27FC236}">
              <a16:creationId xmlns:a16="http://schemas.microsoft.com/office/drawing/2014/main" id="{8EA202FD-37CC-4959-B937-8004EED66B2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12" name="Host Control  21">
          <a:extLst>
            <a:ext uri="{FF2B5EF4-FFF2-40B4-BE49-F238E27FC236}">
              <a16:creationId xmlns:a16="http://schemas.microsoft.com/office/drawing/2014/main" id="{2C04F512-5DFF-4F26-A40C-B46736B6D50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13" name="Host Control  22">
          <a:extLst>
            <a:ext uri="{FF2B5EF4-FFF2-40B4-BE49-F238E27FC236}">
              <a16:creationId xmlns:a16="http://schemas.microsoft.com/office/drawing/2014/main" id="{1FC821F8-7455-49E0-B557-08CF9AB04248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14" name="Host Control  24">
          <a:extLst>
            <a:ext uri="{FF2B5EF4-FFF2-40B4-BE49-F238E27FC236}">
              <a16:creationId xmlns:a16="http://schemas.microsoft.com/office/drawing/2014/main" id="{21B25EE7-93FA-4866-B1FC-044D890E98E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15" name="Host Control  25">
          <a:extLst>
            <a:ext uri="{FF2B5EF4-FFF2-40B4-BE49-F238E27FC236}">
              <a16:creationId xmlns:a16="http://schemas.microsoft.com/office/drawing/2014/main" id="{DEE50562-39AE-41E7-99C4-2F28E44E3A6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16" name="Host Control  26">
          <a:extLst>
            <a:ext uri="{FF2B5EF4-FFF2-40B4-BE49-F238E27FC236}">
              <a16:creationId xmlns:a16="http://schemas.microsoft.com/office/drawing/2014/main" id="{AB9FD8FB-5E3E-4BB4-84B0-47C09A46E98E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17" name="Host Control  28">
          <a:extLst>
            <a:ext uri="{FF2B5EF4-FFF2-40B4-BE49-F238E27FC236}">
              <a16:creationId xmlns:a16="http://schemas.microsoft.com/office/drawing/2014/main" id="{3A7E934C-40EB-4949-8DFB-3A57C229F20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18" name="Host Control  29">
          <a:extLst>
            <a:ext uri="{FF2B5EF4-FFF2-40B4-BE49-F238E27FC236}">
              <a16:creationId xmlns:a16="http://schemas.microsoft.com/office/drawing/2014/main" id="{0920F12E-E82A-4B89-801A-8E8C91CBE5A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19" name="Host Control  30">
          <a:extLst>
            <a:ext uri="{FF2B5EF4-FFF2-40B4-BE49-F238E27FC236}">
              <a16:creationId xmlns:a16="http://schemas.microsoft.com/office/drawing/2014/main" id="{4A7B8DF9-2829-4128-B344-F819059F2687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20" name="Host Control  32">
          <a:extLst>
            <a:ext uri="{FF2B5EF4-FFF2-40B4-BE49-F238E27FC236}">
              <a16:creationId xmlns:a16="http://schemas.microsoft.com/office/drawing/2014/main" id="{C0DF7271-656B-4997-8E87-C3438750174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21" name="Host Control  33">
          <a:extLst>
            <a:ext uri="{FF2B5EF4-FFF2-40B4-BE49-F238E27FC236}">
              <a16:creationId xmlns:a16="http://schemas.microsoft.com/office/drawing/2014/main" id="{83BDA5CE-B61E-4E45-9B85-DB21D37CAA4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22" name="Host Control  34">
          <a:extLst>
            <a:ext uri="{FF2B5EF4-FFF2-40B4-BE49-F238E27FC236}">
              <a16:creationId xmlns:a16="http://schemas.microsoft.com/office/drawing/2014/main" id="{B2195FBD-CE39-4E0D-ABDD-E4BC90F07601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23" name="Host Control  36">
          <a:extLst>
            <a:ext uri="{FF2B5EF4-FFF2-40B4-BE49-F238E27FC236}">
              <a16:creationId xmlns:a16="http://schemas.microsoft.com/office/drawing/2014/main" id="{837C737B-4E1F-4A54-AAF0-5DF25265485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24" name="Host Control  37">
          <a:extLst>
            <a:ext uri="{FF2B5EF4-FFF2-40B4-BE49-F238E27FC236}">
              <a16:creationId xmlns:a16="http://schemas.microsoft.com/office/drawing/2014/main" id="{336EBFF8-32CF-4E97-836C-864ACFE2949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25" name="Host Control  38">
          <a:extLst>
            <a:ext uri="{FF2B5EF4-FFF2-40B4-BE49-F238E27FC236}">
              <a16:creationId xmlns:a16="http://schemas.microsoft.com/office/drawing/2014/main" id="{56A1356D-826B-439A-89B8-774441279A23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26" name="Host Control  40">
          <a:extLst>
            <a:ext uri="{FF2B5EF4-FFF2-40B4-BE49-F238E27FC236}">
              <a16:creationId xmlns:a16="http://schemas.microsoft.com/office/drawing/2014/main" id="{26585D28-DB98-4A1A-B50C-C30823B1CFD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27" name="Host Control  41">
          <a:extLst>
            <a:ext uri="{FF2B5EF4-FFF2-40B4-BE49-F238E27FC236}">
              <a16:creationId xmlns:a16="http://schemas.microsoft.com/office/drawing/2014/main" id="{9C6EAD28-AB05-4B8D-8B98-88D99EE4DAE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28" name="Host Control  42">
          <a:extLst>
            <a:ext uri="{FF2B5EF4-FFF2-40B4-BE49-F238E27FC236}">
              <a16:creationId xmlns:a16="http://schemas.microsoft.com/office/drawing/2014/main" id="{0288362A-D5C8-4E3D-BDDA-1EDA34F355E4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29" name="Host Control  44">
          <a:extLst>
            <a:ext uri="{FF2B5EF4-FFF2-40B4-BE49-F238E27FC236}">
              <a16:creationId xmlns:a16="http://schemas.microsoft.com/office/drawing/2014/main" id="{31947DCA-7055-4125-8A07-2C05C273EED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30" name="Host Control  45">
          <a:extLst>
            <a:ext uri="{FF2B5EF4-FFF2-40B4-BE49-F238E27FC236}">
              <a16:creationId xmlns:a16="http://schemas.microsoft.com/office/drawing/2014/main" id="{97810263-CB3D-428E-9D72-37048E139DA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31" name="Host Control  46">
          <a:extLst>
            <a:ext uri="{FF2B5EF4-FFF2-40B4-BE49-F238E27FC236}">
              <a16:creationId xmlns:a16="http://schemas.microsoft.com/office/drawing/2014/main" id="{7CD956C4-0999-47E1-BB56-9841D8A2B84A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32" name="Host Control  5">
          <a:extLst>
            <a:ext uri="{FF2B5EF4-FFF2-40B4-BE49-F238E27FC236}">
              <a16:creationId xmlns:a16="http://schemas.microsoft.com/office/drawing/2014/main" id="{AA3BC0D4-B219-44DC-83E6-A65230EF9D4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33" name="Host Control  6">
          <a:extLst>
            <a:ext uri="{FF2B5EF4-FFF2-40B4-BE49-F238E27FC236}">
              <a16:creationId xmlns:a16="http://schemas.microsoft.com/office/drawing/2014/main" id="{E7A385D2-82E6-4EBA-9C0E-3236672A4279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34" name="Host Control  7">
          <a:extLst>
            <a:ext uri="{FF2B5EF4-FFF2-40B4-BE49-F238E27FC236}">
              <a16:creationId xmlns:a16="http://schemas.microsoft.com/office/drawing/2014/main" id="{EAF0FF01-0B57-4040-82F0-44D9DF9A897C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35" name="Host Control  12">
          <a:extLst>
            <a:ext uri="{FF2B5EF4-FFF2-40B4-BE49-F238E27FC236}">
              <a16:creationId xmlns:a16="http://schemas.microsoft.com/office/drawing/2014/main" id="{FCC554DC-837D-4CF3-B58A-7D7464966C8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36" name="Host Control  13">
          <a:extLst>
            <a:ext uri="{FF2B5EF4-FFF2-40B4-BE49-F238E27FC236}">
              <a16:creationId xmlns:a16="http://schemas.microsoft.com/office/drawing/2014/main" id="{D08B8A54-7A4F-4071-8348-3D222EA3E024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37" name="Host Control  14">
          <a:extLst>
            <a:ext uri="{FF2B5EF4-FFF2-40B4-BE49-F238E27FC236}">
              <a16:creationId xmlns:a16="http://schemas.microsoft.com/office/drawing/2014/main" id="{700DC151-E6C6-425B-9B64-D8C12A7ED41E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38" name="Host Control  16">
          <a:extLst>
            <a:ext uri="{FF2B5EF4-FFF2-40B4-BE49-F238E27FC236}">
              <a16:creationId xmlns:a16="http://schemas.microsoft.com/office/drawing/2014/main" id="{E3F5FEA4-08FC-498C-BE86-D88BFFA4908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39" name="Host Control  17">
          <a:extLst>
            <a:ext uri="{FF2B5EF4-FFF2-40B4-BE49-F238E27FC236}">
              <a16:creationId xmlns:a16="http://schemas.microsoft.com/office/drawing/2014/main" id="{7A06679E-3B6F-4992-80D6-813B46D09282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40" name="Host Control  18">
          <a:extLst>
            <a:ext uri="{FF2B5EF4-FFF2-40B4-BE49-F238E27FC236}">
              <a16:creationId xmlns:a16="http://schemas.microsoft.com/office/drawing/2014/main" id="{6FA8EECD-AE35-47A9-A3DE-A6FC7B3C300A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41" name="Host Control  20">
          <a:extLst>
            <a:ext uri="{FF2B5EF4-FFF2-40B4-BE49-F238E27FC236}">
              <a16:creationId xmlns:a16="http://schemas.microsoft.com/office/drawing/2014/main" id="{8E435D2D-366A-4136-B16D-D9A82D344AD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42" name="Host Control  21">
          <a:extLst>
            <a:ext uri="{FF2B5EF4-FFF2-40B4-BE49-F238E27FC236}">
              <a16:creationId xmlns:a16="http://schemas.microsoft.com/office/drawing/2014/main" id="{813F4A07-DF1E-4204-AC51-5720FFECE68A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43" name="Host Control  22">
          <a:extLst>
            <a:ext uri="{FF2B5EF4-FFF2-40B4-BE49-F238E27FC236}">
              <a16:creationId xmlns:a16="http://schemas.microsoft.com/office/drawing/2014/main" id="{E3D27023-562D-4ED7-B668-44186087D753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44" name="Host Control  24">
          <a:extLst>
            <a:ext uri="{FF2B5EF4-FFF2-40B4-BE49-F238E27FC236}">
              <a16:creationId xmlns:a16="http://schemas.microsoft.com/office/drawing/2014/main" id="{8CF64D93-43CE-47C9-9BA0-585042CBF21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45" name="Host Control  25">
          <a:extLst>
            <a:ext uri="{FF2B5EF4-FFF2-40B4-BE49-F238E27FC236}">
              <a16:creationId xmlns:a16="http://schemas.microsoft.com/office/drawing/2014/main" id="{12034313-839E-4079-9AD3-A96EB0998598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46" name="Host Control  26">
          <a:extLst>
            <a:ext uri="{FF2B5EF4-FFF2-40B4-BE49-F238E27FC236}">
              <a16:creationId xmlns:a16="http://schemas.microsoft.com/office/drawing/2014/main" id="{46020326-17F5-40E3-93B8-214ECB886BB1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47" name="Host Control  28">
          <a:extLst>
            <a:ext uri="{FF2B5EF4-FFF2-40B4-BE49-F238E27FC236}">
              <a16:creationId xmlns:a16="http://schemas.microsoft.com/office/drawing/2014/main" id="{CC0A51D9-E92C-46B9-8381-AD8BEF0E882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48" name="Host Control  29">
          <a:extLst>
            <a:ext uri="{FF2B5EF4-FFF2-40B4-BE49-F238E27FC236}">
              <a16:creationId xmlns:a16="http://schemas.microsoft.com/office/drawing/2014/main" id="{BA2132FD-983F-4CE8-91CF-B0948C4040BC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49" name="Host Control  30">
          <a:extLst>
            <a:ext uri="{FF2B5EF4-FFF2-40B4-BE49-F238E27FC236}">
              <a16:creationId xmlns:a16="http://schemas.microsoft.com/office/drawing/2014/main" id="{CD3CADBF-946E-4A09-AB1D-6801CA094117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50" name="Host Control  32">
          <a:extLst>
            <a:ext uri="{FF2B5EF4-FFF2-40B4-BE49-F238E27FC236}">
              <a16:creationId xmlns:a16="http://schemas.microsoft.com/office/drawing/2014/main" id="{3ED5BAB9-20B6-4DDD-93FD-2F15DA5F96F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51" name="Host Control  33">
          <a:extLst>
            <a:ext uri="{FF2B5EF4-FFF2-40B4-BE49-F238E27FC236}">
              <a16:creationId xmlns:a16="http://schemas.microsoft.com/office/drawing/2014/main" id="{979D0EB4-B7F7-4D9C-979D-8CF01043295D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52" name="Host Control  34">
          <a:extLst>
            <a:ext uri="{FF2B5EF4-FFF2-40B4-BE49-F238E27FC236}">
              <a16:creationId xmlns:a16="http://schemas.microsoft.com/office/drawing/2014/main" id="{59AFC6E8-13AB-4404-AAB7-4896A4F04C5B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53" name="Host Control  36">
          <a:extLst>
            <a:ext uri="{FF2B5EF4-FFF2-40B4-BE49-F238E27FC236}">
              <a16:creationId xmlns:a16="http://schemas.microsoft.com/office/drawing/2014/main" id="{FF1BA69A-2548-4A1A-95B9-3361060C2D5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54" name="Host Control  37">
          <a:extLst>
            <a:ext uri="{FF2B5EF4-FFF2-40B4-BE49-F238E27FC236}">
              <a16:creationId xmlns:a16="http://schemas.microsoft.com/office/drawing/2014/main" id="{FB966E0E-03A8-41E4-A1A4-69661F1B1CF7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55" name="Host Control  38">
          <a:extLst>
            <a:ext uri="{FF2B5EF4-FFF2-40B4-BE49-F238E27FC236}">
              <a16:creationId xmlns:a16="http://schemas.microsoft.com/office/drawing/2014/main" id="{93391550-C24B-43D1-A96A-122B4E1E611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56" name="Host Control  40">
          <a:extLst>
            <a:ext uri="{FF2B5EF4-FFF2-40B4-BE49-F238E27FC236}">
              <a16:creationId xmlns:a16="http://schemas.microsoft.com/office/drawing/2014/main" id="{2C483E2E-8B8D-4A55-B22F-86D6E67B7A5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57" name="Host Control  41">
          <a:extLst>
            <a:ext uri="{FF2B5EF4-FFF2-40B4-BE49-F238E27FC236}">
              <a16:creationId xmlns:a16="http://schemas.microsoft.com/office/drawing/2014/main" id="{65DDBA53-8DA0-4FFB-BF74-3D2F287FD84E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58" name="Host Control  42">
          <a:extLst>
            <a:ext uri="{FF2B5EF4-FFF2-40B4-BE49-F238E27FC236}">
              <a16:creationId xmlns:a16="http://schemas.microsoft.com/office/drawing/2014/main" id="{6F39D429-595F-41A6-A93D-D1C13666AA0C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59" name="Host Control  44">
          <a:extLst>
            <a:ext uri="{FF2B5EF4-FFF2-40B4-BE49-F238E27FC236}">
              <a16:creationId xmlns:a16="http://schemas.microsoft.com/office/drawing/2014/main" id="{7E8840A4-24D4-4033-962B-9055FDA0E2B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60" name="Host Control  45">
          <a:extLst>
            <a:ext uri="{FF2B5EF4-FFF2-40B4-BE49-F238E27FC236}">
              <a16:creationId xmlns:a16="http://schemas.microsoft.com/office/drawing/2014/main" id="{289C7284-355D-4ACE-86E5-79222A88D16D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61" name="Host Control  46">
          <a:extLst>
            <a:ext uri="{FF2B5EF4-FFF2-40B4-BE49-F238E27FC236}">
              <a16:creationId xmlns:a16="http://schemas.microsoft.com/office/drawing/2014/main" id="{E7726532-88E0-4010-8576-E7F8EB3F7FD2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62" name="Host Control  5">
          <a:extLst>
            <a:ext uri="{FF2B5EF4-FFF2-40B4-BE49-F238E27FC236}">
              <a16:creationId xmlns:a16="http://schemas.microsoft.com/office/drawing/2014/main" id="{E19992BD-EE8D-49B0-B55D-3EEB906992F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63" name="Host Control  6">
          <a:extLst>
            <a:ext uri="{FF2B5EF4-FFF2-40B4-BE49-F238E27FC236}">
              <a16:creationId xmlns:a16="http://schemas.microsoft.com/office/drawing/2014/main" id="{23F3B57D-B30A-454A-B470-A7035E7301B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64" name="Host Control  7">
          <a:extLst>
            <a:ext uri="{FF2B5EF4-FFF2-40B4-BE49-F238E27FC236}">
              <a16:creationId xmlns:a16="http://schemas.microsoft.com/office/drawing/2014/main" id="{90BDDC3D-3A60-4B38-96E0-31CF5771A15D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65" name="Host Control  12">
          <a:extLst>
            <a:ext uri="{FF2B5EF4-FFF2-40B4-BE49-F238E27FC236}">
              <a16:creationId xmlns:a16="http://schemas.microsoft.com/office/drawing/2014/main" id="{2B2618C6-1DAE-4B23-82B4-79AB21731F6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66" name="Host Control  13">
          <a:extLst>
            <a:ext uri="{FF2B5EF4-FFF2-40B4-BE49-F238E27FC236}">
              <a16:creationId xmlns:a16="http://schemas.microsoft.com/office/drawing/2014/main" id="{7EFBDDB7-44B1-456B-989D-1BB7F8D60F7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67" name="Host Control  14">
          <a:extLst>
            <a:ext uri="{FF2B5EF4-FFF2-40B4-BE49-F238E27FC236}">
              <a16:creationId xmlns:a16="http://schemas.microsoft.com/office/drawing/2014/main" id="{672F5D06-2646-41C4-AB1E-04567A0734DB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68" name="Host Control  16">
          <a:extLst>
            <a:ext uri="{FF2B5EF4-FFF2-40B4-BE49-F238E27FC236}">
              <a16:creationId xmlns:a16="http://schemas.microsoft.com/office/drawing/2014/main" id="{3DBFF9D4-7416-4981-B1D3-3AB9928492E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69" name="Host Control  17">
          <a:extLst>
            <a:ext uri="{FF2B5EF4-FFF2-40B4-BE49-F238E27FC236}">
              <a16:creationId xmlns:a16="http://schemas.microsoft.com/office/drawing/2014/main" id="{E19756A6-0484-45AA-AC8F-28B99E37CFB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70" name="Host Control  18">
          <a:extLst>
            <a:ext uri="{FF2B5EF4-FFF2-40B4-BE49-F238E27FC236}">
              <a16:creationId xmlns:a16="http://schemas.microsoft.com/office/drawing/2014/main" id="{1F542800-E2C3-41B3-B8FA-6A8C78BC4E8A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71" name="Host Control  20">
          <a:extLst>
            <a:ext uri="{FF2B5EF4-FFF2-40B4-BE49-F238E27FC236}">
              <a16:creationId xmlns:a16="http://schemas.microsoft.com/office/drawing/2014/main" id="{EE4B383D-AA69-4BFE-8AAE-9B56D2DC315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72" name="Host Control  21">
          <a:extLst>
            <a:ext uri="{FF2B5EF4-FFF2-40B4-BE49-F238E27FC236}">
              <a16:creationId xmlns:a16="http://schemas.microsoft.com/office/drawing/2014/main" id="{5FED6C14-0632-412D-AC5E-1D103D7FC66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73" name="Host Control  22">
          <a:extLst>
            <a:ext uri="{FF2B5EF4-FFF2-40B4-BE49-F238E27FC236}">
              <a16:creationId xmlns:a16="http://schemas.microsoft.com/office/drawing/2014/main" id="{FA539856-B05E-47AC-9A40-52B0C69619D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74" name="Host Control  24">
          <a:extLst>
            <a:ext uri="{FF2B5EF4-FFF2-40B4-BE49-F238E27FC236}">
              <a16:creationId xmlns:a16="http://schemas.microsoft.com/office/drawing/2014/main" id="{FA99184F-A10A-436C-92E9-74AD7D04BBD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75" name="Host Control  25">
          <a:extLst>
            <a:ext uri="{FF2B5EF4-FFF2-40B4-BE49-F238E27FC236}">
              <a16:creationId xmlns:a16="http://schemas.microsoft.com/office/drawing/2014/main" id="{CB1CB94E-9E31-4619-890A-AFB1ECC2A21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76" name="Host Control  26">
          <a:extLst>
            <a:ext uri="{FF2B5EF4-FFF2-40B4-BE49-F238E27FC236}">
              <a16:creationId xmlns:a16="http://schemas.microsoft.com/office/drawing/2014/main" id="{07B677EF-40AA-4223-9622-2A5BD399BCD4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77" name="Host Control  28">
          <a:extLst>
            <a:ext uri="{FF2B5EF4-FFF2-40B4-BE49-F238E27FC236}">
              <a16:creationId xmlns:a16="http://schemas.microsoft.com/office/drawing/2014/main" id="{DC242CAE-AA5E-4507-AE2E-65005F26C58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78" name="Host Control  29">
          <a:extLst>
            <a:ext uri="{FF2B5EF4-FFF2-40B4-BE49-F238E27FC236}">
              <a16:creationId xmlns:a16="http://schemas.microsoft.com/office/drawing/2014/main" id="{29B15F17-379A-4820-89E1-9D5D2AECE0E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79" name="Host Control  30">
          <a:extLst>
            <a:ext uri="{FF2B5EF4-FFF2-40B4-BE49-F238E27FC236}">
              <a16:creationId xmlns:a16="http://schemas.microsoft.com/office/drawing/2014/main" id="{49B40949-4A44-45AD-BA4A-9740E5444CC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80" name="Host Control  32">
          <a:extLst>
            <a:ext uri="{FF2B5EF4-FFF2-40B4-BE49-F238E27FC236}">
              <a16:creationId xmlns:a16="http://schemas.microsoft.com/office/drawing/2014/main" id="{82F9F367-9649-4ED7-9C90-CC7C480DED8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81" name="Host Control  33">
          <a:extLst>
            <a:ext uri="{FF2B5EF4-FFF2-40B4-BE49-F238E27FC236}">
              <a16:creationId xmlns:a16="http://schemas.microsoft.com/office/drawing/2014/main" id="{DC053B3C-821A-488B-989D-CDEE2ABE027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82" name="Host Control  34">
          <a:extLst>
            <a:ext uri="{FF2B5EF4-FFF2-40B4-BE49-F238E27FC236}">
              <a16:creationId xmlns:a16="http://schemas.microsoft.com/office/drawing/2014/main" id="{96B7C617-880B-46EE-8324-4D59B9502AA2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83" name="Host Control  36">
          <a:extLst>
            <a:ext uri="{FF2B5EF4-FFF2-40B4-BE49-F238E27FC236}">
              <a16:creationId xmlns:a16="http://schemas.microsoft.com/office/drawing/2014/main" id="{7391BFDB-1C1C-4C90-A9A2-1AE79BCEDD6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84" name="Host Control  37">
          <a:extLst>
            <a:ext uri="{FF2B5EF4-FFF2-40B4-BE49-F238E27FC236}">
              <a16:creationId xmlns:a16="http://schemas.microsoft.com/office/drawing/2014/main" id="{C21FA345-E206-422A-A7D6-D29B76C27C9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85" name="Host Control  38">
          <a:extLst>
            <a:ext uri="{FF2B5EF4-FFF2-40B4-BE49-F238E27FC236}">
              <a16:creationId xmlns:a16="http://schemas.microsoft.com/office/drawing/2014/main" id="{D9EC096A-2D11-4EA7-BD1C-8F4BEE293FB5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86" name="Host Control  40">
          <a:extLst>
            <a:ext uri="{FF2B5EF4-FFF2-40B4-BE49-F238E27FC236}">
              <a16:creationId xmlns:a16="http://schemas.microsoft.com/office/drawing/2014/main" id="{9EAD5EA5-3060-405C-A656-D1EDBAD0269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87" name="Host Control  41">
          <a:extLst>
            <a:ext uri="{FF2B5EF4-FFF2-40B4-BE49-F238E27FC236}">
              <a16:creationId xmlns:a16="http://schemas.microsoft.com/office/drawing/2014/main" id="{8217E9ED-1FDA-4B30-ABF9-7AA22B34A80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88" name="Host Control  42">
          <a:extLst>
            <a:ext uri="{FF2B5EF4-FFF2-40B4-BE49-F238E27FC236}">
              <a16:creationId xmlns:a16="http://schemas.microsoft.com/office/drawing/2014/main" id="{A42C9ABE-8FBA-4D93-A9D3-6D8AB87152E0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89" name="Host Control  44">
          <a:extLst>
            <a:ext uri="{FF2B5EF4-FFF2-40B4-BE49-F238E27FC236}">
              <a16:creationId xmlns:a16="http://schemas.microsoft.com/office/drawing/2014/main" id="{C08B3451-D809-4CBC-995A-BE5F2F2B057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90" name="Host Control  45">
          <a:extLst>
            <a:ext uri="{FF2B5EF4-FFF2-40B4-BE49-F238E27FC236}">
              <a16:creationId xmlns:a16="http://schemas.microsoft.com/office/drawing/2014/main" id="{F9CC9563-9F6A-4641-9B74-D4CBE9B1170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691" name="Host Control  46">
          <a:extLst>
            <a:ext uri="{FF2B5EF4-FFF2-40B4-BE49-F238E27FC236}">
              <a16:creationId xmlns:a16="http://schemas.microsoft.com/office/drawing/2014/main" id="{AC5073E1-43D2-44FE-84E3-8FA5909FA050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92" name="Host Control  5">
          <a:extLst>
            <a:ext uri="{FF2B5EF4-FFF2-40B4-BE49-F238E27FC236}">
              <a16:creationId xmlns:a16="http://schemas.microsoft.com/office/drawing/2014/main" id="{AD729FC4-C3A3-4E83-89BD-E7AE1DF7E72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93" name="Host Control  6">
          <a:extLst>
            <a:ext uri="{FF2B5EF4-FFF2-40B4-BE49-F238E27FC236}">
              <a16:creationId xmlns:a16="http://schemas.microsoft.com/office/drawing/2014/main" id="{B6248EFB-6FCB-4D92-A85F-A683DD355F3B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94" name="Host Control  7">
          <a:extLst>
            <a:ext uri="{FF2B5EF4-FFF2-40B4-BE49-F238E27FC236}">
              <a16:creationId xmlns:a16="http://schemas.microsoft.com/office/drawing/2014/main" id="{D7E9576C-408B-4A72-8BE9-3A3E1129DC6D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95" name="Host Control  12">
          <a:extLst>
            <a:ext uri="{FF2B5EF4-FFF2-40B4-BE49-F238E27FC236}">
              <a16:creationId xmlns:a16="http://schemas.microsoft.com/office/drawing/2014/main" id="{582AB86E-B24E-43FA-A0F7-E8C592E6581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96" name="Host Control  13">
          <a:extLst>
            <a:ext uri="{FF2B5EF4-FFF2-40B4-BE49-F238E27FC236}">
              <a16:creationId xmlns:a16="http://schemas.microsoft.com/office/drawing/2014/main" id="{47E9F845-5367-42D2-BC7B-354D0119AD21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697" name="Host Control  14">
          <a:extLst>
            <a:ext uri="{FF2B5EF4-FFF2-40B4-BE49-F238E27FC236}">
              <a16:creationId xmlns:a16="http://schemas.microsoft.com/office/drawing/2014/main" id="{5F8DED04-98DD-413D-ABC3-E464F74018F6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698" name="Host Control  16">
          <a:extLst>
            <a:ext uri="{FF2B5EF4-FFF2-40B4-BE49-F238E27FC236}">
              <a16:creationId xmlns:a16="http://schemas.microsoft.com/office/drawing/2014/main" id="{690FD626-F1EA-4BA5-A825-BEF7D5B1A62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699" name="Host Control  17">
          <a:extLst>
            <a:ext uri="{FF2B5EF4-FFF2-40B4-BE49-F238E27FC236}">
              <a16:creationId xmlns:a16="http://schemas.microsoft.com/office/drawing/2014/main" id="{D086D24F-8CF0-4188-9A15-68D65D139D91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00" name="Host Control  18">
          <a:extLst>
            <a:ext uri="{FF2B5EF4-FFF2-40B4-BE49-F238E27FC236}">
              <a16:creationId xmlns:a16="http://schemas.microsoft.com/office/drawing/2014/main" id="{26E2DBF6-1F5A-4A33-A9A0-B4CF8EE4F627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01" name="Host Control  20">
          <a:extLst>
            <a:ext uri="{FF2B5EF4-FFF2-40B4-BE49-F238E27FC236}">
              <a16:creationId xmlns:a16="http://schemas.microsoft.com/office/drawing/2014/main" id="{A8A20011-A3E3-401A-8001-91FD14CFC87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02" name="Host Control  21">
          <a:extLst>
            <a:ext uri="{FF2B5EF4-FFF2-40B4-BE49-F238E27FC236}">
              <a16:creationId xmlns:a16="http://schemas.microsoft.com/office/drawing/2014/main" id="{55E30F3E-01CD-4A68-9001-53250A85A8A6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03" name="Host Control  22">
          <a:extLst>
            <a:ext uri="{FF2B5EF4-FFF2-40B4-BE49-F238E27FC236}">
              <a16:creationId xmlns:a16="http://schemas.microsoft.com/office/drawing/2014/main" id="{80D4DE11-2C79-4473-8912-833F4BFAD10A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04" name="Host Control  24">
          <a:extLst>
            <a:ext uri="{FF2B5EF4-FFF2-40B4-BE49-F238E27FC236}">
              <a16:creationId xmlns:a16="http://schemas.microsoft.com/office/drawing/2014/main" id="{78D59555-B595-4B59-9A45-E44083077C2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05" name="Host Control  25">
          <a:extLst>
            <a:ext uri="{FF2B5EF4-FFF2-40B4-BE49-F238E27FC236}">
              <a16:creationId xmlns:a16="http://schemas.microsoft.com/office/drawing/2014/main" id="{15BE417F-0697-4448-9EEA-2ACE536156E3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06" name="Host Control  26">
          <a:extLst>
            <a:ext uri="{FF2B5EF4-FFF2-40B4-BE49-F238E27FC236}">
              <a16:creationId xmlns:a16="http://schemas.microsoft.com/office/drawing/2014/main" id="{35012796-F462-4236-AEF4-B405DE79D316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07" name="Host Control  28">
          <a:extLst>
            <a:ext uri="{FF2B5EF4-FFF2-40B4-BE49-F238E27FC236}">
              <a16:creationId xmlns:a16="http://schemas.microsoft.com/office/drawing/2014/main" id="{48108D7A-32B2-4B26-B8D3-DF2C77939B6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08" name="Host Control  29">
          <a:extLst>
            <a:ext uri="{FF2B5EF4-FFF2-40B4-BE49-F238E27FC236}">
              <a16:creationId xmlns:a16="http://schemas.microsoft.com/office/drawing/2014/main" id="{B143F39A-48D7-4B5F-9A73-CBB4F4F0E7E4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09" name="Host Control  30">
          <a:extLst>
            <a:ext uri="{FF2B5EF4-FFF2-40B4-BE49-F238E27FC236}">
              <a16:creationId xmlns:a16="http://schemas.microsoft.com/office/drawing/2014/main" id="{65643218-09BF-47DF-833E-CEC4B34519D3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10" name="Host Control  32">
          <a:extLst>
            <a:ext uri="{FF2B5EF4-FFF2-40B4-BE49-F238E27FC236}">
              <a16:creationId xmlns:a16="http://schemas.microsoft.com/office/drawing/2014/main" id="{36D94F6E-5FB1-4035-BC82-F180B939CC2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11" name="Host Control  33">
          <a:extLst>
            <a:ext uri="{FF2B5EF4-FFF2-40B4-BE49-F238E27FC236}">
              <a16:creationId xmlns:a16="http://schemas.microsoft.com/office/drawing/2014/main" id="{AC9A4F26-722B-47D8-BA48-B2B5CAB084E7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12" name="Host Control  34">
          <a:extLst>
            <a:ext uri="{FF2B5EF4-FFF2-40B4-BE49-F238E27FC236}">
              <a16:creationId xmlns:a16="http://schemas.microsoft.com/office/drawing/2014/main" id="{800A9B90-5B60-4B24-A303-1427F9765970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13" name="Host Control  36">
          <a:extLst>
            <a:ext uri="{FF2B5EF4-FFF2-40B4-BE49-F238E27FC236}">
              <a16:creationId xmlns:a16="http://schemas.microsoft.com/office/drawing/2014/main" id="{9A67F878-5E6D-457C-82CC-C5E76BB1611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14" name="Host Control  37">
          <a:extLst>
            <a:ext uri="{FF2B5EF4-FFF2-40B4-BE49-F238E27FC236}">
              <a16:creationId xmlns:a16="http://schemas.microsoft.com/office/drawing/2014/main" id="{C153F7B4-DBD3-4854-8FBF-A4EF65A85A4B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15" name="Host Control  38">
          <a:extLst>
            <a:ext uri="{FF2B5EF4-FFF2-40B4-BE49-F238E27FC236}">
              <a16:creationId xmlns:a16="http://schemas.microsoft.com/office/drawing/2014/main" id="{E483B608-202F-4663-A658-7FA04A897BB0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16" name="Host Control  40">
          <a:extLst>
            <a:ext uri="{FF2B5EF4-FFF2-40B4-BE49-F238E27FC236}">
              <a16:creationId xmlns:a16="http://schemas.microsoft.com/office/drawing/2014/main" id="{4EF73D09-A002-463D-855A-0A74039E3FF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17" name="Host Control  41">
          <a:extLst>
            <a:ext uri="{FF2B5EF4-FFF2-40B4-BE49-F238E27FC236}">
              <a16:creationId xmlns:a16="http://schemas.microsoft.com/office/drawing/2014/main" id="{280AFB44-2580-4486-B82C-158BCE6A0E30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18" name="Host Control  42">
          <a:extLst>
            <a:ext uri="{FF2B5EF4-FFF2-40B4-BE49-F238E27FC236}">
              <a16:creationId xmlns:a16="http://schemas.microsoft.com/office/drawing/2014/main" id="{1D593608-0451-452B-9209-862215546C4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19" name="Host Control  44">
          <a:extLst>
            <a:ext uri="{FF2B5EF4-FFF2-40B4-BE49-F238E27FC236}">
              <a16:creationId xmlns:a16="http://schemas.microsoft.com/office/drawing/2014/main" id="{E2C45AE4-DD54-40F4-A678-1E37EF9868F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20" name="Host Control  45">
          <a:extLst>
            <a:ext uri="{FF2B5EF4-FFF2-40B4-BE49-F238E27FC236}">
              <a16:creationId xmlns:a16="http://schemas.microsoft.com/office/drawing/2014/main" id="{CFB950E4-329C-43F4-BE4F-1AF9FBA371BA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21" name="Host Control  46">
          <a:extLst>
            <a:ext uri="{FF2B5EF4-FFF2-40B4-BE49-F238E27FC236}">
              <a16:creationId xmlns:a16="http://schemas.microsoft.com/office/drawing/2014/main" id="{A8FF9ADC-93EC-48C7-AC27-C2BA17FBDC57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22" name="Host Control  5">
          <a:extLst>
            <a:ext uri="{FF2B5EF4-FFF2-40B4-BE49-F238E27FC236}">
              <a16:creationId xmlns:a16="http://schemas.microsoft.com/office/drawing/2014/main" id="{087378D0-1674-4A56-8212-208DA2D6ABD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23" name="Host Control  6">
          <a:extLst>
            <a:ext uri="{FF2B5EF4-FFF2-40B4-BE49-F238E27FC236}">
              <a16:creationId xmlns:a16="http://schemas.microsoft.com/office/drawing/2014/main" id="{476D36A9-4782-4556-85B8-D3D5F91A653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24" name="Host Control  7">
          <a:extLst>
            <a:ext uri="{FF2B5EF4-FFF2-40B4-BE49-F238E27FC236}">
              <a16:creationId xmlns:a16="http://schemas.microsoft.com/office/drawing/2014/main" id="{287D61A9-4C6E-46BB-90AA-301B0452AC5B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25" name="Host Control  12">
          <a:extLst>
            <a:ext uri="{FF2B5EF4-FFF2-40B4-BE49-F238E27FC236}">
              <a16:creationId xmlns:a16="http://schemas.microsoft.com/office/drawing/2014/main" id="{3E400382-D366-49BD-ACB0-3DA98ECB062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26" name="Host Control  13">
          <a:extLst>
            <a:ext uri="{FF2B5EF4-FFF2-40B4-BE49-F238E27FC236}">
              <a16:creationId xmlns:a16="http://schemas.microsoft.com/office/drawing/2014/main" id="{8DA3D340-8718-4F9C-A513-CB94D7EE922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27" name="Host Control  14">
          <a:extLst>
            <a:ext uri="{FF2B5EF4-FFF2-40B4-BE49-F238E27FC236}">
              <a16:creationId xmlns:a16="http://schemas.microsoft.com/office/drawing/2014/main" id="{E9E61FD4-668C-4566-9822-19EF00661C31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28" name="Host Control  16">
          <a:extLst>
            <a:ext uri="{FF2B5EF4-FFF2-40B4-BE49-F238E27FC236}">
              <a16:creationId xmlns:a16="http://schemas.microsoft.com/office/drawing/2014/main" id="{8ACEE238-FF62-4B1D-8664-0672315E77B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29" name="Host Control  17">
          <a:extLst>
            <a:ext uri="{FF2B5EF4-FFF2-40B4-BE49-F238E27FC236}">
              <a16:creationId xmlns:a16="http://schemas.microsoft.com/office/drawing/2014/main" id="{6BDB7B36-0305-4529-82D4-CCC74A3E204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30" name="Host Control  18">
          <a:extLst>
            <a:ext uri="{FF2B5EF4-FFF2-40B4-BE49-F238E27FC236}">
              <a16:creationId xmlns:a16="http://schemas.microsoft.com/office/drawing/2014/main" id="{9C901624-7701-489F-BC61-5ECA828F8C76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31" name="Host Control  20">
          <a:extLst>
            <a:ext uri="{FF2B5EF4-FFF2-40B4-BE49-F238E27FC236}">
              <a16:creationId xmlns:a16="http://schemas.microsoft.com/office/drawing/2014/main" id="{C13DAF8B-7D1D-43F7-8471-CA1667FA9B5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32" name="Host Control  21">
          <a:extLst>
            <a:ext uri="{FF2B5EF4-FFF2-40B4-BE49-F238E27FC236}">
              <a16:creationId xmlns:a16="http://schemas.microsoft.com/office/drawing/2014/main" id="{3CF53378-F4EA-4B1B-B654-8787AA1115B7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33" name="Host Control  22">
          <a:extLst>
            <a:ext uri="{FF2B5EF4-FFF2-40B4-BE49-F238E27FC236}">
              <a16:creationId xmlns:a16="http://schemas.microsoft.com/office/drawing/2014/main" id="{91A52DF0-9F09-4D18-B9D6-0BE8CAA45877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34" name="Host Control  24">
          <a:extLst>
            <a:ext uri="{FF2B5EF4-FFF2-40B4-BE49-F238E27FC236}">
              <a16:creationId xmlns:a16="http://schemas.microsoft.com/office/drawing/2014/main" id="{C2F70A23-5942-48F4-8900-4716579A98C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35" name="Host Control  25">
          <a:extLst>
            <a:ext uri="{FF2B5EF4-FFF2-40B4-BE49-F238E27FC236}">
              <a16:creationId xmlns:a16="http://schemas.microsoft.com/office/drawing/2014/main" id="{2DBB6434-D685-424A-9D86-03C0A2165A8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36" name="Host Control  26">
          <a:extLst>
            <a:ext uri="{FF2B5EF4-FFF2-40B4-BE49-F238E27FC236}">
              <a16:creationId xmlns:a16="http://schemas.microsoft.com/office/drawing/2014/main" id="{D0DD26BD-407F-4214-AF5D-EE3F7D90E076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37" name="Host Control  28">
          <a:extLst>
            <a:ext uri="{FF2B5EF4-FFF2-40B4-BE49-F238E27FC236}">
              <a16:creationId xmlns:a16="http://schemas.microsoft.com/office/drawing/2014/main" id="{D4DA7E2B-5C99-43D2-855F-4E8F7BDDC2B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38" name="Host Control  29">
          <a:extLst>
            <a:ext uri="{FF2B5EF4-FFF2-40B4-BE49-F238E27FC236}">
              <a16:creationId xmlns:a16="http://schemas.microsoft.com/office/drawing/2014/main" id="{3A1166FB-9FE0-409B-BE99-258016CFBD8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39" name="Host Control  30">
          <a:extLst>
            <a:ext uri="{FF2B5EF4-FFF2-40B4-BE49-F238E27FC236}">
              <a16:creationId xmlns:a16="http://schemas.microsoft.com/office/drawing/2014/main" id="{EF36FF7E-8A8E-4CB6-8DDF-7EE19CD8B4E0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40" name="Host Control  32">
          <a:extLst>
            <a:ext uri="{FF2B5EF4-FFF2-40B4-BE49-F238E27FC236}">
              <a16:creationId xmlns:a16="http://schemas.microsoft.com/office/drawing/2014/main" id="{60CCEE5C-93EC-4408-8C95-83CA137B96E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41" name="Host Control  33">
          <a:extLst>
            <a:ext uri="{FF2B5EF4-FFF2-40B4-BE49-F238E27FC236}">
              <a16:creationId xmlns:a16="http://schemas.microsoft.com/office/drawing/2014/main" id="{356EAF2B-F6FE-45B3-8767-8AA8524A697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42" name="Host Control  34">
          <a:extLst>
            <a:ext uri="{FF2B5EF4-FFF2-40B4-BE49-F238E27FC236}">
              <a16:creationId xmlns:a16="http://schemas.microsoft.com/office/drawing/2014/main" id="{379A3793-35A9-44B2-8853-51298C2FD5D0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43" name="Host Control  36">
          <a:extLst>
            <a:ext uri="{FF2B5EF4-FFF2-40B4-BE49-F238E27FC236}">
              <a16:creationId xmlns:a16="http://schemas.microsoft.com/office/drawing/2014/main" id="{5064728E-E235-4427-BC11-9430C78A475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44" name="Host Control  37">
          <a:extLst>
            <a:ext uri="{FF2B5EF4-FFF2-40B4-BE49-F238E27FC236}">
              <a16:creationId xmlns:a16="http://schemas.microsoft.com/office/drawing/2014/main" id="{D2FFCB8B-BE9B-4603-8330-36EE54D1B9B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45" name="Host Control  38">
          <a:extLst>
            <a:ext uri="{FF2B5EF4-FFF2-40B4-BE49-F238E27FC236}">
              <a16:creationId xmlns:a16="http://schemas.microsoft.com/office/drawing/2014/main" id="{F989D89F-CA5B-4113-903F-FA6F50F18B0E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46" name="Host Control  40">
          <a:extLst>
            <a:ext uri="{FF2B5EF4-FFF2-40B4-BE49-F238E27FC236}">
              <a16:creationId xmlns:a16="http://schemas.microsoft.com/office/drawing/2014/main" id="{C3C1564B-7EFA-4463-8D8A-05D58CC552E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47" name="Host Control  41">
          <a:extLst>
            <a:ext uri="{FF2B5EF4-FFF2-40B4-BE49-F238E27FC236}">
              <a16:creationId xmlns:a16="http://schemas.microsoft.com/office/drawing/2014/main" id="{1D557E4A-C7B4-43B6-9003-A3011CDDD40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48" name="Host Control  42">
          <a:extLst>
            <a:ext uri="{FF2B5EF4-FFF2-40B4-BE49-F238E27FC236}">
              <a16:creationId xmlns:a16="http://schemas.microsoft.com/office/drawing/2014/main" id="{2258416F-2AA1-49CB-B5D9-5A06E5769F51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49" name="Host Control  44">
          <a:extLst>
            <a:ext uri="{FF2B5EF4-FFF2-40B4-BE49-F238E27FC236}">
              <a16:creationId xmlns:a16="http://schemas.microsoft.com/office/drawing/2014/main" id="{07F97680-054A-4EC3-891D-D385BEE7429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50" name="Host Control  45">
          <a:extLst>
            <a:ext uri="{FF2B5EF4-FFF2-40B4-BE49-F238E27FC236}">
              <a16:creationId xmlns:a16="http://schemas.microsoft.com/office/drawing/2014/main" id="{E2506EAD-3AE0-4B6B-8CBA-62379B87214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51" name="Host Control  46">
          <a:extLst>
            <a:ext uri="{FF2B5EF4-FFF2-40B4-BE49-F238E27FC236}">
              <a16:creationId xmlns:a16="http://schemas.microsoft.com/office/drawing/2014/main" id="{76AC9C18-8008-4237-993F-5A5BC1A1F185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52" name="Host Control  5">
          <a:extLst>
            <a:ext uri="{FF2B5EF4-FFF2-40B4-BE49-F238E27FC236}">
              <a16:creationId xmlns:a16="http://schemas.microsoft.com/office/drawing/2014/main" id="{E3900D36-DEF2-4567-8DBD-403A4A39586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53" name="Host Control  6">
          <a:extLst>
            <a:ext uri="{FF2B5EF4-FFF2-40B4-BE49-F238E27FC236}">
              <a16:creationId xmlns:a16="http://schemas.microsoft.com/office/drawing/2014/main" id="{CD592C92-045E-4EA1-BE56-509AE4FEA342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54" name="Host Control  7">
          <a:extLst>
            <a:ext uri="{FF2B5EF4-FFF2-40B4-BE49-F238E27FC236}">
              <a16:creationId xmlns:a16="http://schemas.microsoft.com/office/drawing/2014/main" id="{33AC1238-85CA-4A77-A3C5-0C591752538C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55" name="Host Control  12">
          <a:extLst>
            <a:ext uri="{FF2B5EF4-FFF2-40B4-BE49-F238E27FC236}">
              <a16:creationId xmlns:a16="http://schemas.microsoft.com/office/drawing/2014/main" id="{2C894E10-F661-4482-86EA-971AE0589D4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56" name="Host Control  13">
          <a:extLst>
            <a:ext uri="{FF2B5EF4-FFF2-40B4-BE49-F238E27FC236}">
              <a16:creationId xmlns:a16="http://schemas.microsoft.com/office/drawing/2014/main" id="{87224352-C718-4A35-A745-0476C4128292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57" name="Host Control  14">
          <a:extLst>
            <a:ext uri="{FF2B5EF4-FFF2-40B4-BE49-F238E27FC236}">
              <a16:creationId xmlns:a16="http://schemas.microsoft.com/office/drawing/2014/main" id="{958E59AB-FB54-4572-9863-1902E4376C99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58" name="Host Control  16">
          <a:extLst>
            <a:ext uri="{FF2B5EF4-FFF2-40B4-BE49-F238E27FC236}">
              <a16:creationId xmlns:a16="http://schemas.microsoft.com/office/drawing/2014/main" id="{660FFA15-74F4-49E1-8467-F86E5676ED0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59" name="Host Control  17">
          <a:extLst>
            <a:ext uri="{FF2B5EF4-FFF2-40B4-BE49-F238E27FC236}">
              <a16:creationId xmlns:a16="http://schemas.microsoft.com/office/drawing/2014/main" id="{4A11FBBE-7BFE-49AA-B72D-F9E489EC545A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60" name="Host Control  18">
          <a:extLst>
            <a:ext uri="{FF2B5EF4-FFF2-40B4-BE49-F238E27FC236}">
              <a16:creationId xmlns:a16="http://schemas.microsoft.com/office/drawing/2014/main" id="{52AA349D-1375-4143-9100-9C10CDD0E0EC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61" name="Host Control  20">
          <a:extLst>
            <a:ext uri="{FF2B5EF4-FFF2-40B4-BE49-F238E27FC236}">
              <a16:creationId xmlns:a16="http://schemas.microsoft.com/office/drawing/2014/main" id="{5D7E071A-57E7-4011-B0A2-3B30D918C4F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62" name="Host Control  21">
          <a:extLst>
            <a:ext uri="{FF2B5EF4-FFF2-40B4-BE49-F238E27FC236}">
              <a16:creationId xmlns:a16="http://schemas.microsoft.com/office/drawing/2014/main" id="{4E949183-D000-41CE-B5B7-A95A6A451751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63" name="Host Control  22">
          <a:extLst>
            <a:ext uri="{FF2B5EF4-FFF2-40B4-BE49-F238E27FC236}">
              <a16:creationId xmlns:a16="http://schemas.microsoft.com/office/drawing/2014/main" id="{004A34D0-F45E-4702-92A2-11EE028B1B98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64" name="Host Control  24">
          <a:extLst>
            <a:ext uri="{FF2B5EF4-FFF2-40B4-BE49-F238E27FC236}">
              <a16:creationId xmlns:a16="http://schemas.microsoft.com/office/drawing/2014/main" id="{96007E33-2866-45B1-8ED1-645FBAAF41A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65" name="Host Control  25">
          <a:extLst>
            <a:ext uri="{FF2B5EF4-FFF2-40B4-BE49-F238E27FC236}">
              <a16:creationId xmlns:a16="http://schemas.microsoft.com/office/drawing/2014/main" id="{32411F8F-8C25-4EF5-A222-1665379C0CB3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66" name="Host Control  26">
          <a:extLst>
            <a:ext uri="{FF2B5EF4-FFF2-40B4-BE49-F238E27FC236}">
              <a16:creationId xmlns:a16="http://schemas.microsoft.com/office/drawing/2014/main" id="{F7339142-5A09-4724-AEF9-6C779F2292E2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67" name="Host Control  28">
          <a:extLst>
            <a:ext uri="{FF2B5EF4-FFF2-40B4-BE49-F238E27FC236}">
              <a16:creationId xmlns:a16="http://schemas.microsoft.com/office/drawing/2014/main" id="{E0B8F67E-BC0F-46EF-A1DC-C8D40D79257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68" name="Host Control  29">
          <a:extLst>
            <a:ext uri="{FF2B5EF4-FFF2-40B4-BE49-F238E27FC236}">
              <a16:creationId xmlns:a16="http://schemas.microsoft.com/office/drawing/2014/main" id="{51F3BB2E-D9E2-4055-9F44-B6EED68D82E6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69" name="Host Control  30">
          <a:extLst>
            <a:ext uri="{FF2B5EF4-FFF2-40B4-BE49-F238E27FC236}">
              <a16:creationId xmlns:a16="http://schemas.microsoft.com/office/drawing/2014/main" id="{4B860111-4211-41FD-A761-021DAE45AB32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70" name="Host Control  32">
          <a:extLst>
            <a:ext uri="{FF2B5EF4-FFF2-40B4-BE49-F238E27FC236}">
              <a16:creationId xmlns:a16="http://schemas.microsoft.com/office/drawing/2014/main" id="{A5FDBC81-D9D5-4DFA-943C-744C987F0BD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71" name="Host Control  33">
          <a:extLst>
            <a:ext uri="{FF2B5EF4-FFF2-40B4-BE49-F238E27FC236}">
              <a16:creationId xmlns:a16="http://schemas.microsoft.com/office/drawing/2014/main" id="{20545CC4-E8CE-415F-8EA0-612BCB034E11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72" name="Host Control  34">
          <a:extLst>
            <a:ext uri="{FF2B5EF4-FFF2-40B4-BE49-F238E27FC236}">
              <a16:creationId xmlns:a16="http://schemas.microsoft.com/office/drawing/2014/main" id="{6AB566E4-2C62-4DAA-9896-46AF8AB3C046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73" name="Host Control  36">
          <a:extLst>
            <a:ext uri="{FF2B5EF4-FFF2-40B4-BE49-F238E27FC236}">
              <a16:creationId xmlns:a16="http://schemas.microsoft.com/office/drawing/2014/main" id="{C805CFD0-C277-4329-9897-396E1DB3B633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74" name="Host Control  37">
          <a:extLst>
            <a:ext uri="{FF2B5EF4-FFF2-40B4-BE49-F238E27FC236}">
              <a16:creationId xmlns:a16="http://schemas.microsoft.com/office/drawing/2014/main" id="{A3A6965C-668F-43E3-9728-7FC9F34C5F21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75" name="Host Control  38">
          <a:extLst>
            <a:ext uri="{FF2B5EF4-FFF2-40B4-BE49-F238E27FC236}">
              <a16:creationId xmlns:a16="http://schemas.microsoft.com/office/drawing/2014/main" id="{B6817B0D-10CC-44A8-B7EE-2A0A030C6143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76" name="Host Control  40">
          <a:extLst>
            <a:ext uri="{FF2B5EF4-FFF2-40B4-BE49-F238E27FC236}">
              <a16:creationId xmlns:a16="http://schemas.microsoft.com/office/drawing/2014/main" id="{8788FA8A-19DF-4D74-9005-6D5D5051AE7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77" name="Host Control  41">
          <a:extLst>
            <a:ext uri="{FF2B5EF4-FFF2-40B4-BE49-F238E27FC236}">
              <a16:creationId xmlns:a16="http://schemas.microsoft.com/office/drawing/2014/main" id="{64FEB562-CD08-4C77-B860-93CDDCA80EF6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78" name="Host Control  42">
          <a:extLst>
            <a:ext uri="{FF2B5EF4-FFF2-40B4-BE49-F238E27FC236}">
              <a16:creationId xmlns:a16="http://schemas.microsoft.com/office/drawing/2014/main" id="{7AFC55E6-6979-4AF8-9549-A89AA1051171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79" name="Host Control  44">
          <a:extLst>
            <a:ext uri="{FF2B5EF4-FFF2-40B4-BE49-F238E27FC236}">
              <a16:creationId xmlns:a16="http://schemas.microsoft.com/office/drawing/2014/main" id="{B8C68758-690B-40D1-8AC0-49F0E2F7FB5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780" name="Host Control  45">
          <a:extLst>
            <a:ext uri="{FF2B5EF4-FFF2-40B4-BE49-F238E27FC236}">
              <a16:creationId xmlns:a16="http://schemas.microsoft.com/office/drawing/2014/main" id="{73BE7291-5D67-47A0-9124-5310F3023EC0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781" name="Host Control  46">
          <a:extLst>
            <a:ext uri="{FF2B5EF4-FFF2-40B4-BE49-F238E27FC236}">
              <a16:creationId xmlns:a16="http://schemas.microsoft.com/office/drawing/2014/main" id="{3C0185A6-1AAC-4B97-9565-7A634ECC6DD7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82" name="Host Control  5">
          <a:extLst>
            <a:ext uri="{FF2B5EF4-FFF2-40B4-BE49-F238E27FC236}">
              <a16:creationId xmlns:a16="http://schemas.microsoft.com/office/drawing/2014/main" id="{DCF275BD-48C4-42C0-9EEA-BF4C62C8EF9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83" name="Host Control  6">
          <a:extLst>
            <a:ext uri="{FF2B5EF4-FFF2-40B4-BE49-F238E27FC236}">
              <a16:creationId xmlns:a16="http://schemas.microsoft.com/office/drawing/2014/main" id="{92F7D80D-F244-492A-8A92-2CB392E981E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84" name="Host Control  7">
          <a:extLst>
            <a:ext uri="{FF2B5EF4-FFF2-40B4-BE49-F238E27FC236}">
              <a16:creationId xmlns:a16="http://schemas.microsoft.com/office/drawing/2014/main" id="{599A6AF8-7BB1-4597-B6A8-78A91228239C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85" name="Host Control  12">
          <a:extLst>
            <a:ext uri="{FF2B5EF4-FFF2-40B4-BE49-F238E27FC236}">
              <a16:creationId xmlns:a16="http://schemas.microsoft.com/office/drawing/2014/main" id="{C0FB60F6-376C-4469-A62E-7161A9DDA01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86" name="Host Control  13">
          <a:extLst>
            <a:ext uri="{FF2B5EF4-FFF2-40B4-BE49-F238E27FC236}">
              <a16:creationId xmlns:a16="http://schemas.microsoft.com/office/drawing/2014/main" id="{62FD91B3-FA65-4F5F-98E4-D1067711619C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87" name="Host Control  14">
          <a:extLst>
            <a:ext uri="{FF2B5EF4-FFF2-40B4-BE49-F238E27FC236}">
              <a16:creationId xmlns:a16="http://schemas.microsoft.com/office/drawing/2014/main" id="{E8B7B1EF-D6A6-4D8F-80BE-0549740FF16A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88" name="Host Control  16">
          <a:extLst>
            <a:ext uri="{FF2B5EF4-FFF2-40B4-BE49-F238E27FC236}">
              <a16:creationId xmlns:a16="http://schemas.microsoft.com/office/drawing/2014/main" id="{9589E914-6DE5-499A-BAE0-EDB2D25429B8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89" name="Host Control  17">
          <a:extLst>
            <a:ext uri="{FF2B5EF4-FFF2-40B4-BE49-F238E27FC236}">
              <a16:creationId xmlns:a16="http://schemas.microsoft.com/office/drawing/2014/main" id="{1A419D11-4DF4-46C3-99E7-96D15D00952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90" name="Host Control  18">
          <a:extLst>
            <a:ext uri="{FF2B5EF4-FFF2-40B4-BE49-F238E27FC236}">
              <a16:creationId xmlns:a16="http://schemas.microsoft.com/office/drawing/2014/main" id="{F25CFA55-D1DB-4CC4-9E51-24AF376217B3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91" name="Host Control  20">
          <a:extLst>
            <a:ext uri="{FF2B5EF4-FFF2-40B4-BE49-F238E27FC236}">
              <a16:creationId xmlns:a16="http://schemas.microsoft.com/office/drawing/2014/main" id="{663148AE-6CAD-4273-A063-6D0FCD50090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92" name="Host Control  21">
          <a:extLst>
            <a:ext uri="{FF2B5EF4-FFF2-40B4-BE49-F238E27FC236}">
              <a16:creationId xmlns:a16="http://schemas.microsoft.com/office/drawing/2014/main" id="{650E9C12-897D-4C7E-B2F4-205875D1008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93" name="Host Control  22">
          <a:extLst>
            <a:ext uri="{FF2B5EF4-FFF2-40B4-BE49-F238E27FC236}">
              <a16:creationId xmlns:a16="http://schemas.microsoft.com/office/drawing/2014/main" id="{3907B78C-1B90-474D-ADD3-4C326C8068BB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94" name="Host Control  24">
          <a:extLst>
            <a:ext uri="{FF2B5EF4-FFF2-40B4-BE49-F238E27FC236}">
              <a16:creationId xmlns:a16="http://schemas.microsoft.com/office/drawing/2014/main" id="{C49BE5D4-0DD1-45BC-9F39-12172EC59F41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95" name="Host Control  25">
          <a:extLst>
            <a:ext uri="{FF2B5EF4-FFF2-40B4-BE49-F238E27FC236}">
              <a16:creationId xmlns:a16="http://schemas.microsoft.com/office/drawing/2014/main" id="{2A15C353-7AFA-4DAB-84B3-41C81F645D6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96" name="Host Control  26">
          <a:extLst>
            <a:ext uri="{FF2B5EF4-FFF2-40B4-BE49-F238E27FC236}">
              <a16:creationId xmlns:a16="http://schemas.microsoft.com/office/drawing/2014/main" id="{2D60F502-6CD3-4101-98BD-20EC1C9C8622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97" name="Host Control  28">
          <a:extLst>
            <a:ext uri="{FF2B5EF4-FFF2-40B4-BE49-F238E27FC236}">
              <a16:creationId xmlns:a16="http://schemas.microsoft.com/office/drawing/2014/main" id="{F78BDBCB-EF2B-43B9-AD0B-9EAECFA3B0DA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798" name="Host Control  29">
          <a:extLst>
            <a:ext uri="{FF2B5EF4-FFF2-40B4-BE49-F238E27FC236}">
              <a16:creationId xmlns:a16="http://schemas.microsoft.com/office/drawing/2014/main" id="{556163A6-B82B-48FE-921D-D1F9CE34D366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799" name="Host Control  30">
          <a:extLst>
            <a:ext uri="{FF2B5EF4-FFF2-40B4-BE49-F238E27FC236}">
              <a16:creationId xmlns:a16="http://schemas.microsoft.com/office/drawing/2014/main" id="{6289E469-F201-4B93-BB84-2D23614F27E8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00" name="Host Control  32">
          <a:extLst>
            <a:ext uri="{FF2B5EF4-FFF2-40B4-BE49-F238E27FC236}">
              <a16:creationId xmlns:a16="http://schemas.microsoft.com/office/drawing/2014/main" id="{7CF6E812-0D07-4706-8C9E-433C0A60420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01" name="Host Control  33">
          <a:extLst>
            <a:ext uri="{FF2B5EF4-FFF2-40B4-BE49-F238E27FC236}">
              <a16:creationId xmlns:a16="http://schemas.microsoft.com/office/drawing/2014/main" id="{25A5EFDC-0C5F-4342-B2E7-067AD575ECB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802" name="Host Control  34">
          <a:extLst>
            <a:ext uri="{FF2B5EF4-FFF2-40B4-BE49-F238E27FC236}">
              <a16:creationId xmlns:a16="http://schemas.microsoft.com/office/drawing/2014/main" id="{CFDE1245-8B8F-467D-86FE-EE97B10C8898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03" name="Host Control  36">
          <a:extLst>
            <a:ext uri="{FF2B5EF4-FFF2-40B4-BE49-F238E27FC236}">
              <a16:creationId xmlns:a16="http://schemas.microsoft.com/office/drawing/2014/main" id="{55526DA6-ABC0-4FB6-9D8E-087BB3EEC06D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04" name="Host Control  37">
          <a:extLst>
            <a:ext uri="{FF2B5EF4-FFF2-40B4-BE49-F238E27FC236}">
              <a16:creationId xmlns:a16="http://schemas.microsoft.com/office/drawing/2014/main" id="{041E5A42-AA08-4F0B-961E-AA4B99B15C05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805" name="Host Control  38">
          <a:extLst>
            <a:ext uri="{FF2B5EF4-FFF2-40B4-BE49-F238E27FC236}">
              <a16:creationId xmlns:a16="http://schemas.microsoft.com/office/drawing/2014/main" id="{0EAEA4D1-1962-441D-9FCB-B6201655A79B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06" name="Host Control  40">
          <a:extLst>
            <a:ext uri="{FF2B5EF4-FFF2-40B4-BE49-F238E27FC236}">
              <a16:creationId xmlns:a16="http://schemas.microsoft.com/office/drawing/2014/main" id="{647CE33C-CB41-46E4-93BA-41B84B945B7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07" name="Host Control  41">
          <a:extLst>
            <a:ext uri="{FF2B5EF4-FFF2-40B4-BE49-F238E27FC236}">
              <a16:creationId xmlns:a16="http://schemas.microsoft.com/office/drawing/2014/main" id="{5E69F356-3A7A-4D03-9CB6-175559C8511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808" name="Host Control  42">
          <a:extLst>
            <a:ext uri="{FF2B5EF4-FFF2-40B4-BE49-F238E27FC236}">
              <a16:creationId xmlns:a16="http://schemas.microsoft.com/office/drawing/2014/main" id="{067808F1-BB30-41EE-815F-D887CAB15043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09" name="Host Control  44">
          <a:extLst>
            <a:ext uri="{FF2B5EF4-FFF2-40B4-BE49-F238E27FC236}">
              <a16:creationId xmlns:a16="http://schemas.microsoft.com/office/drawing/2014/main" id="{47E2F9F4-48C1-42A8-9202-B98F6215363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10" name="Host Control  45">
          <a:extLst>
            <a:ext uri="{FF2B5EF4-FFF2-40B4-BE49-F238E27FC236}">
              <a16:creationId xmlns:a16="http://schemas.microsoft.com/office/drawing/2014/main" id="{19ACA2F1-A751-41F6-B91F-EF39B17D1612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112078</xdr:rowOff>
    </xdr:to>
    <xdr:sp macro="" textlink="">
      <xdr:nvSpPr>
        <xdr:cNvPr id="811" name="Host Control  46">
          <a:extLst>
            <a:ext uri="{FF2B5EF4-FFF2-40B4-BE49-F238E27FC236}">
              <a16:creationId xmlns:a16="http://schemas.microsoft.com/office/drawing/2014/main" id="{FB0DFC06-2050-4359-9D72-68A9B566220B}"/>
            </a:ext>
          </a:extLst>
        </xdr:cNvPr>
        <xdr:cNvSpPr/>
      </xdr:nvSpPr>
      <xdr:spPr>
        <a:xfrm>
          <a:off x="5245100" y="1333500"/>
          <a:ext cx="86741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12" name="Host Control  5">
          <a:extLst>
            <a:ext uri="{FF2B5EF4-FFF2-40B4-BE49-F238E27FC236}">
              <a16:creationId xmlns:a16="http://schemas.microsoft.com/office/drawing/2014/main" id="{9E8AC9F4-E209-49CA-8DD4-E67B339AB0F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813" name="Host Control  6">
          <a:extLst>
            <a:ext uri="{FF2B5EF4-FFF2-40B4-BE49-F238E27FC236}">
              <a16:creationId xmlns:a16="http://schemas.microsoft.com/office/drawing/2014/main" id="{BE899513-00E7-471A-9BEC-1EF26E01D152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814" name="Host Control  7">
          <a:extLst>
            <a:ext uri="{FF2B5EF4-FFF2-40B4-BE49-F238E27FC236}">
              <a16:creationId xmlns:a16="http://schemas.microsoft.com/office/drawing/2014/main" id="{D89A056A-97E2-4838-A405-2C0223708022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15" name="Host Control  12">
          <a:extLst>
            <a:ext uri="{FF2B5EF4-FFF2-40B4-BE49-F238E27FC236}">
              <a16:creationId xmlns:a16="http://schemas.microsoft.com/office/drawing/2014/main" id="{56E4D842-2C1B-4C64-82AF-3BFD9E362C2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816" name="Host Control  13">
          <a:extLst>
            <a:ext uri="{FF2B5EF4-FFF2-40B4-BE49-F238E27FC236}">
              <a16:creationId xmlns:a16="http://schemas.microsoft.com/office/drawing/2014/main" id="{D76831FD-0B23-478B-BF4D-3C651688CF59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817" name="Host Control  14">
          <a:extLst>
            <a:ext uri="{FF2B5EF4-FFF2-40B4-BE49-F238E27FC236}">
              <a16:creationId xmlns:a16="http://schemas.microsoft.com/office/drawing/2014/main" id="{057ED5A4-E715-48A3-9194-63B722A9D0A0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18" name="Host Control  16">
          <a:extLst>
            <a:ext uri="{FF2B5EF4-FFF2-40B4-BE49-F238E27FC236}">
              <a16:creationId xmlns:a16="http://schemas.microsoft.com/office/drawing/2014/main" id="{013AD0C6-123E-4A68-82A0-8EB3121C2BC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819" name="Host Control  17">
          <a:extLst>
            <a:ext uri="{FF2B5EF4-FFF2-40B4-BE49-F238E27FC236}">
              <a16:creationId xmlns:a16="http://schemas.microsoft.com/office/drawing/2014/main" id="{AF8C7FF2-CCAC-4FBE-91BF-7C04DDF884A5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820" name="Host Control  18">
          <a:extLst>
            <a:ext uri="{FF2B5EF4-FFF2-40B4-BE49-F238E27FC236}">
              <a16:creationId xmlns:a16="http://schemas.microsoft.com/office/drawing/2014/main" id="{AE501D5B-60D6-4F1A-A11A-C3B7296A4A36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21" name="Host Control  20">
          <a:extLst>
            <a:ext uri="{FF2B5EF4-FFF2-40B4-BE49-F238E27FC236}">
              <a16:creationId xmlns:a16="http://schemas.microsoft.com/office/drawing/2014/main" id="{3E3B03E0-9F83-462E-804D-8F89B9216DB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822" name="Host Control  21">
          <a:extLst>
            <a:ext uri="{FF2B5EF4-FFF2-40B4-BE49-F238E27FC236}">
              <a16:creationId xmlns:a16="http://schemas.microsoft.com/office/drawing/2014/main" id="{2CE91B61-A062-4126-A1C2-BC3E48D9FAA1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823" name="Host Control  22">
          <a:extLst>
            <a:ext uri="{FF2B5EF4-FFF2-40B4-BE49-F238E27FC236}">
              <a16:creationId xmlns:a16="http://schemas.microsoft.com/office/drawing/2014/main" id="{487F232D-DFE2-4E89-99CD-09BEA787258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24" name="Host Control  24">
          <a:extLst>
            <a:ext uri="{FF2B5EF4-FFF2-40B4-BE49-F238E27FC236}">
              <a16:creationId xmlns:a16="http://schemas.microsoft.com/office/drawing/2014/main" id="{8E2C0DB7-97C9-47A2-ADEF-7D269C512A80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825" name="Host Control  25">
          <a:extLst>
            <a:ext uri="{FF2B5EF4-FFF2-40B4-BE49-F238E27FC236}">
              <a16:creationId xmlns:a16="http://schemas.microsoft.com/office/drawing/2014/main" id="{D9960C26-1A39-43A6-ADDD-00C062F4627C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826" name="Host Control  26">
          <a:extLst>
            <a:ext uri="{FF2B5EF4-FFF2-40B4-BE49-F238E27FC236}">
              <a16:creationId xmlns:a16="http://schemas.microsoft.com/office/drawing/2014/main" id="{8C20AF48-4740-40EF-9BC0-18042E1AE6EE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27" name="Host Control  28">
          <a:extLst>
            <a:ext uri="{FF2B5EF4-FFF2-40B4-BE49-F238E27FC236}">
              <a16:creationId xmlns:a16="http://schemas.microsoft.com/office/drawing/2014/main" id="{7D51D0CA-7466-436A-9389-E3A28BA2029F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828" name="Host Control  29">
          <a:extLst>
            <a:ext uri="{FF2B5EF4-FFF2-40B4-BE49-F238E27FC236}">
              <a16:creationId xmlns:a16="http://schemas.microsoft.com/office/drawing/2014/main" id="{3B71998C-0C9D-4A0E-ADE5-A6D9CBCEC474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829" name="Host Control  30">
          <a:extLst>
            <a:ext uri="{FF2B5EF4-FFF2-40B4-BE49-F238E27FC236}">
              <a16:creationId xmlns:a16="http://schemas.microsoft.com/office/drawing/2014/main" id="{1788AB2B-251B-41F5-97B8-9858DB5C9055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30" name="Host Control  32">
          <a:extLst>
            <a:ext uri="{FF2B5EF4-FFF2-40B4-BE49-F238E27FC236}">
              <a16:creationId xmlns:a16="http://schemas.microsoft.com/office/drawing/2014/main" id="{3245F568-F9AD-4FC7-835F-04E577B8B68E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831" name="Host Control  33">
          <a:extLst>
            <a:ext uri="{FF2B5EF4-FFF2-40B4-BE49-F238E27FC236}">
              <a16:creationId xmlns:a16="http://schemas.microsoft.com/office/drawing/2014/main" id="{CE8625C0-C572-470B-B498-F5C4F0155DE3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832" name="Host Control  34">
          <a:extLst>
            <a:ext uri="{FF2B5EF4-FFF2-40B4-BE49-F238E27FC236}">
              <a16:creationId xmlns:a16="http://schemas.microsoft.com/office/drawing/2014/main" id="{1A82424E-620E-45D5-92F8-29F23014010C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33" name="Host Control  36">
          <a:extLst>
            <a:ext uri="{FF2B5EF4-FFF2-40B4-BE49-F238E27FC236}">
              <a16:creationId xmlns:a16="http://schemas.microsoft.com/office/drawing/2014/main" id="{B41A3144-485C-47DD-99D0-60BAD6D0484B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834" name="Host Control  37">
          <a:extLst>
            <a:ext uri="{FF2B5EF4-FFF2-40B4-BE49-F238E27FC236}">
              <a16:creationId xmlns:a16="http://schemas.microsoft.com/office/drawing/2014/main" id="{B6E33875-43AD-4EC0-ADC7-62F44C3EA5D6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835" name="Host Control  38">
          <a:extLst>
            <a:ext uri="{FF2B5EF4-FFF2-40B4-BE49-F238E27FC236}">
              <a16:creationId xmlns:a16="http://schemas.microsoft.com/office/drawing/2014/main" id="{65F75F0E-5A02-4889-B154-49E78E52873F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36" name="Host Control  40">
          <a:extLst>
            <a:ext uri="{FF2B5EF4-FFF2-40B4-BE49-F238E27FC236}">
              <a16:creationId xmlns:a16="http://schemas.microsoft.com/office/drawing/2014/main" id="{BD6985AC-CEE5-4DF6-A655-BFF918B11C14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837" name="Host Control  41">
          <a:extLst>
            <a:ext uri="{FF2B5EF4-FFF2-40B4-BE49-F238E27FC236}">
              <a16:creationId xmlns:a16="http://schemas.microsoft.com/office/drawing/2014/main" id="{1709E824-795A-4437-B147-5861DA51EBB5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838" name="Host Control  42">
          <a:extLst>
            <a:ext uri="{FF2B5EF4-FFF2-40B4-BE49-F238E27FC236}">
              <a16:creationId xmlns:a16="http://schemas.microsoft.com/office/drawing/2014/main" id="{AE538CBD-C6C1-4B13-AE74-79DB1D342B47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112078</xdr:rowOff>
    </xdr:to>
    <xdr:sp macro="" textlink="">
      <xdr:nvSpPr>
        <xdr:cNvPr id="839" name="Host Control  44">
          <a:extLst>
            <a:ext uri="{FF2B5EF4-FFF2-40B4-BE49-F238E27FC236}">
              <a16:creationId xmlns:a16="http://schemas.microsoft.com/office/drawing/2014/main" id="{533CB0DA-957A-470F-9489-39FB78C41919}"/>
            </a:ext>
          </a:extLst>
        </xdr:cNvPr>
        <xdr:cNvSpPr/>
      </xdr:nvSpPr>
      <xdr:spPr>
        <a:xfrm>
          <a:off x="5245100" y="1333500"/>
          <a:ext cx="62293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112078</xdr:rowOff>
    </xdr:to>
    <xdr:sp macro="" textlink="">
      <xdr:nvSpPr>
        <xdr:cNvPr id="840" name="Host Control  45">
          <a:extLst>
            <a:ext uri="{FF2B5EF4-FFF2-40B4-BE49-F238E27FC236}">
              <a16:creationId xmlns:a16="http://schemas.microsoft.com/office/drawing/2014/main" id="{B182CFE5-246A-4BFE-9372-DE9877FAC502}"/>
            </a:ext>
          </a:extLst>
        </xdr:cNvPr>
        <xdr:cNvSpPr/>
      </xdr:nvSpPr>
      <xdr:spPr>
        <a:xfrm>
          <a:off x="5245100" y="1333500"/>
          <a:ext cx="607695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112078</xdr:rowOff>
    </xdr:to>
    <xdr:sp macro="" textlink="">
      <xdr:nvSpPr>
        <xdr:cNvPr id="841" name="Host Control  46">
          <a:extLst>
            <a:ext uri="{FF2B5EF4-FFF2-40B4-BE49-F238E27FC236}">
              <a16:creationId xmlns:a16="http://schemas.microsoft.com/office/drawing/2014/main" id="{7375C552-DB71-4418-AB87-7EE1E0EF7A80}"/>
            </a:ext>
          </a:extLst>
        </xdr:cNvPr>
        <xdr:cNvSpPr/>
      </xdr:nvSpPr>
      <xdr:spPr>
        <a:xfrm>
          <a:off x="5245100" y="1333500"/>
          <a:ext cx="850900" cy="378778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42" name="Host Control  5">
          <a:extLst>
            <a:ext uri="{FF2B5EF4-FFF2-40B4-BE49-F238E27FC236}">
              <a16:creationId xmlns:a16="http://schemas.microsoft.com/office/drawing/2014/main" id="{F5C05BF6-3654-4D01-9C5A-6C026D94F29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43" name="Host Control  6">
          <a:extLst>
            <a:ext uri="{FF2B5EF4-FFF2-40B4-BE49-F238E27FC236}">
              <a16:creationId xmlns:a16="http://schemas.microsoft.com/office/drawing/2014/main" id="{E82033FE-A6A7-42F7-8AC5-5778FA321CE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844" name="Host Control  7">
          <a:extLst>
            <a:ext uri="{FF2B5EF4-FFF2-40B4-BE49-F238E27FC236}">
              <a16:creationId xmlns:a16="http://schemas.microsoft.com/office/drawing/2014/main" id="{331C2A32-5C3B-4243-88C3-EBD928F9EA4E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45" name="Host Control  12">
          <a:extLst>
            <a:ext uri="{FF2B5EF4-FFF2-40B4-BE49-F238E27FC236}">
              <a16:creationId xmlns:a16="http://schemas.microsoft.com/office/drawing/2014/main" id="{C1F43F54-1CF8-4448-8D2D-39ECF4492E4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46" name="Host Control  13">
          <a:extLst>
            <a:ext uri="{FF2B5EF4-FFF2-40B4-BE49-F238E27FC236}">
              <a16:creationId xmlns:a16="http://schemas.microsoft.com/office/drawing/2014/main" id="{41B09B5C-8450-4E63-958F-2977B339700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847" name="Host Control  14">
          <a:extLst>
            <a:ext uri="{FF2B5EF4-FFF2-40B4-BE49-F238E27FC236}">
              <a16:creationId xmlns:a16="http://schemas.microsoft.com/office/drawing/2014/main" id="{5C7FC6FE-3073-4264-AC1D-9D24E003EC84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48" name="Host Control  16">
          <a:extLst>
            <a:ext uri="{FF2B5EF4-FFF2-40B4-BE49-F238E27FC236}">
              <a16:creationId xmlns:a16="http://schemas.microsoft.com/office/drawing/2014/main" id="{81A3446B-8E57-4073-A12A-27378A16109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49" name="Host Control  17">
          <a:extLst>
            <a:ext uri="{FF2B5EF4-FFF2-40B4-BE49-F238E27FC236}">
              <a16:creationId xmlns:a16="http://schemas.microsoft.com/office/drawing/2014/main" id="{579DBC9C-523C-4A95-ABE8-2B279663893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850" name="Host Control  18">
          <a:extLst>
            <a:ext uri="{FF2B5EF4-FFF2-40B4-BE49-F238E27FC236}">
              <a16:creationId xmlns:a16="http://schemas.microsoft.com/office/drawing/2014/main" id="{896702F7-8333-4CF5-88E2-F0E355D43E23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51" name="Host Control  20">
          <a:extLst>
            <a:ext uri="{FF2B5EF4-FFF2-40B4-BE49-F238E27FC236}">
              <a16:creationId xmlns:a16="http://schemas.microsoft.com/office/drawing/2014/main" id="{E22C7F85-0938-470B-8A43-CA61765220B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52" name="Host Control  21">
          <a:extLst>
            <a:ext uri="{FF2B5EF4-FFF2-40B4-BE49-F238E27FC236}">
              <a16:creationId xmlns:a16="http://schemas.microsoft.com/office/drawing/2014/main" id="{BCE7C172-0521-474A-8DDE-3562E7FF604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853" name="Host Control  22">
          <a:extLst>
            <a:ext uri="{FF2B5EF4-FFF2-40B4-BE49-F238E27FC236}">
              <a16:creationId xmlns:a16="http://schemas.microsoft.com/office/drawing/2014/main" id="{E9EB3904-7F6B-4D4F-92F3-1F56164D5D68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54" name="Host Control  24">
          <a:extLst>
            <a:ext uri="{FF2B5EF4-FFF2-40B4-BE49-F238E27FC236}">
              <a16:creationId xmlns:a16="http://schemas.microsoft.com/office/drawing/2014/main" id="{CE0A2B54-8026-4355-BDE4-33159B81DAB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55" name="Host Control  25">
          <a:extLst>
            <a:ext uri="{FF2B5EF4-FFF2-40B4-BE49-F238E27FC236}">
              <a16:creationId xmlns:a16="http://schemas.microsoft.com/office/drawing/2014/main" id="{93283ECC-9D50-42EF-9F26-11739B00403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856" name="Host Control  26">
          <a:extLst>
            <a:ext uri="{FF2B5EF4-FFF2-40B4-BE49-F238E27FC236}">
              <a16:creationId xmlns:a16="http://schemas.microsoft.com/office/drawing/2014/main" id="{344051B1-A822-478B-A000-CCF261C875D4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57" name="Host Control  28">
          <a:extLst>
            <a:ext uri="{FF2B5EF4-FFF2-40B4-BE49-F238E27FC236}">
              <a16:creationId xmlns:a16="http://schemas.microsoft.com/office/drawing/2014/main" id="{DE5455ED-EF35-4148-A8E7-BEBDF3F3412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58" name="Host Control  29">
          <a:extLst>
            <a:ext uri="{FF2B5EF4-FFF2-40B4-BE49-F238E27FC236}">
              <a16:creationId xmlns:a16="http://schemas.microsoft.com/office/drawing/2014/main" id="{3EC2B2D4-3E5B-49D2-8532-3254E63CBCA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859" name="Host Control  30">
          <a:extLst>
            <a:ext uri="{FF2B5EF4-FFF2-40B4-BE49-F238E27FC236}">
              <a16:creationId xmlns:a16="http://schemas.microsoft.com/office/drawing/2014/main" id="{85153976-FE5C-4DE1-AB77-07DC9D196C34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60" name="Host Control  32">
          <a:extLst>
            <a:ext uri="{FF2B5EF4-FFF2-40B4-BE49-F238E27FC236}">
              <a16:creationId xmlns:a16="http://schemas.microsoft.com/office/drawing/2014/main" id="{CB98CD7F-C298-4065-AFE6-300C92B211D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61" name="Host Control  33">
          <a:extLst>
            <a:ext uri="{FF2B5EF4-FFF2-40B4-BE49-F238E27FC236}">
              <a16:creationId xmlns:a16="http://schemas.microsoft.com/office/drawing/2014/main" id="{94EC824C-66EC-4321-9662-EE522265C3B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862" name="Host Control  34">
          <a:extLst>
            <a:ext uri="{FF2B5EF4-FFF2-40B4-BE49-F238E27FC236}">
              <a16:creationId xmlns:a16="http://schemas.microsoft.com/office/drawing/2014/main" id="{94A10245-804C-4CEC-884C-64C8780A8F29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63" name="Host Control  36">
          <a:extLst>
            <a:ext uri="{FF2B5EF4-FFF2-40B4-BE49-F238E27FC236}">
              <a16:creationId xmlns:a16="http://schemas.microsoft.com/office/drawing/2014/main" id="{48E6E1FF-4F61-41DD-BCD5-105B84BBBE9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64" name="Host Control  37">
          <a:extLst>
            <a:ext uri="{FF2B5EF4-FFF2-40B4-BE49-F238E27FC236}">
              <a16:creationId xmlns:a16="http://schemas.microsoft.com/office/drawing/2014/main" id="{D7B24627-D165-418D-B218-8F0F88BF433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865" name="Host Control  38">
          <a:extLst>
            <a:ext uri="{FF2B5EF4-FFF2-40B4-BE49-F238E27FC236}">
              <a16:creationId xmlns:a16="http://schemas.microsoft.com/office/drawing/2014/main" id="{0759E6E0-6578-4467-86E2-98AA8398E603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66" name="Host Control  40">
          <a:extLst>
            <a:ext uri="{FF2B5EF4-FFF2-40B4-BE49-F238E27FC236}">
              <a16:creationId xmlns:a16="http://schemas.microsoft.com/office/drawing/2014/main" id="{B48A7EC9-C4DB-4E98-8326-1B87F0DE2F6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67" name="Host Control  41">
          <a:extLst>
            <a:ext uri="{FF2B5EF4-FFF2-40B4-BE49-F238E27FC236}">
              <a16:creationId xmlns:a16="http://schemas.microsoft.com/office/drawing/2014/main" id="{7C1A57FB-3E93-40E3-906F-20515F6304C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868" name="Host Control  42">
          <a:extLst>
            <a:ext uri="{FF2B5EF4-FFF2-40B4-BE49-F238E27FC236}">
              <a16:creationId xmlns:a16="http://schemas.microsoft.com/office/drawing/2014/main" id="{D9EEBA74-F040-4AA4-9E06-5C416076A20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69" name="Host Control  44">
          <a:extLst>
            <a:ext uri="{FF2B5EF4-FFF2-40B4-BE49-F238E27FC236}">
              <a16:creationId xmlns:a16="http://schemas.microsoft.com/office/drawing/2014/main" id="{0B4F5749-C41E-4236-8757-D75B2BBB107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70" name="Host Control  45">
          <a:extLst>
            <a:ext uri="{FF2B5EF4-FFF2-40B4-BE49-F238E27FC236}">
              <a16:creationId xmlns:a16="http://schemas.microsoft.com/office/drawing/2014/main" id="{E50993AC-1B52-4159-AA13-EA77A9C1AC4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871" name="Host Control  46">
          <a:extLst>
            <a:ext uri="{FF2B5EF4-FFF2-40B4-BE49-F238E27FC236}">
              <a16:creationId xmlns:a16="http://schemas.microsoft.com/office/drawing/2014/main" id="{2DFD34D1-6090-4DA2-A186-6C779B757322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72" name="Host Control  5">
          <a:extLst>
            <a:ext uri="{FF2B5EF4-FFF2-40B4-BE49-F238E27FC236}">
              <a16:creationId xmlns:a16="http://schemas.microsoft.com/office/drawing/2014/main" id="{F1E09DA6-1E1F-473D-A04A-EEAA5766BC3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873" name="Host Control  6">
          <a:extLst>
            <a:ext uri="{FF2B5EF4-FFF2-40B4-BE49-F238E27FC236}">
              <a16:creationId xmlns:a16="http://schemas.microsoft.com/office/drawing/2014/main" id="{4AC3E620-D6B6-44BB-AA0B-57293C32A106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874" name="Host Control  7">
          <a:extLst>
            <a:ext uri="{FF2B5EF4-FFF2-40B4-BE49-F238E27FC236}">
              <a16:creationId xmlns:a16="http://schemas.microsoft.com/office/drawing/2014/main" id="{89237A52-AD3B-4C1D-ACE0-980B27A8CF90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75" name="Host Control  12">
          <a:extLst>
            <a:ext uri="{FF2B5EF4-FFF2-40B4-BE49-F238E27FC236}">
              <a16:creationId xmlns:a16="http://schemas.microsoft.com/office/drawing/2014/main" id="{38D0ED4F-D05A-4ADA-960E-9942B9F646F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876" name="Host Control  13">
          <a:extLst>
            <a:ext uri="{FF2B5EF4-FFF2-40B4-BE49-F238E27FC236}">
              <a16:creationId xmlns:a16="http://schemas.microsoft.com/office/drawing/2014/main" id="{4117C777-F608-4134-A121-9D32DDA45010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877" name="Host Control  14">
          <a:extLst>
            <a:ext uri="{FF2B5EF4-FFF2-40B4-BE49-F238E27FC236}">
              <a16:creationId xmlns:a16="http://schemas.microsoft.com/office/drawing/2014/main" id="{93394C22-CBD3-4A79-8FB4-AF8717520614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78" name="Host Control  16">
          <a:extLst>
            <a:ext uri="{FF2B5EF4-FFF2-40B4-BE49-F238E27FC236}">
              <a16:creationId xmlns:a16="http://schemas.microsoft.com/office/drawing/2014/main" id="{DC9726A4-9762-42E4-BBFF-8FE5D04A8A0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879" name="Host Control  17">
          <a:extLst>
            <a:ext uri="{FF2B5EF4-FFF2-40B4-BE49-F238E27FC236}">
              <a16:creationId xmlns:a16="http://schemas.microsoft.com/office/drawing/2014/main" id="{149E567D-76B4-4DBE-8E01-15BD844616B9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880" name="Host Control  18">
          <a:extLst>
            <a:ext uri="{FF2B5EF4-FFF2-40B4-BE49-F238E27FC236}">
              <a16:creationId xmlns:a16="http://schemas.microsoft.com/office/drawing/2014/main" id="{3FFA35C0-1C7C-4AFE-878E-4F9D659190CB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81" name="Host Control  20">
          <a:extLst>
            <a:ext uri="{FF2B5EF4-FFF2-40B4-BE49-F238E27FC236}">
              <a16:creationId xmlns:a16="http://schemas.microsoft.com/office/drawing/2014/main" id="{125B1F0D-83FB-4C6C-AE36-59FF2C83989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882" name="Host Control  21">
          <a:extLst>
            <a:ext uri="{FF2B5EF4-FFF2-40B4-BE49-F238E27FC236}">
              <a16:creationId xmlns:a16="http://schemas.microsoft.com/office/drawing/2014/main" id="{8EBFA4CB-EE7C-44C4-9E67-924C98E3A4EC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883" name="Host Control  22">
          <a:extLst>
            <a:ext uri="{FF2B5EF4-FFF2-40B4-BE49-F238E27FC236}">
              <a16:creationId xmlns:a16="http://schemas.microsoft.com/office/drawing/2014/main" id="{40B1DD70-65D8-4FF4-864A-959FA87ECDE6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84" name="Host Control  24">
          <a:extLst>
            <a:ext uri="{FF2B5EF4-FFF2-40B4-BE49-F238E27FC236}">
              <a16:creationId xmlns:a16="http://schemas.microsoft.com/office/drawing/2014/main" id="{EA5FAAE7-33DD-45CA-8799-8D7F80EB2E5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885" name="Host Control  25">
          <a:extLst>
            <a:ext uri="{FF2B5EF4-FFF2-40B4-BE49-F238E27FC236}">
              <a16:creationId xmlns:a16="http://schemas.microsoft.com/office/drawing/2014/main" id="{3E082534-AEB3-4711-8AF2-1604A73EE49E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886" name="Host Control  26">
          <a:extLst>
            <a:ext uri="{FF2B5EF4-FFF2-40B4-BE49-F238E27FC236}">
              <a16:creationId xmlns:a16="http://schemas.microsoft.com/office/drawing/2014/main" id="{C43BEB6F-DADE-466B-BA7D-7E6C78FCBF43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87" name="Host Control  28">
          <a:extLst>
            <a:ext uri="{FF2B5EF4-FFF2-40B4-BE49-F238E27FC236}">
              <a16:creationId xmlns:a16="http://schemas.microsoft.com/office/drawing/2014/main" id="{0156AB54-BBCD-421B-9016-C0CFC496210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888" name="Host Control  29">
          <a:extLst>
            <a:ext uri="{FF2B5EF4-FFF2-40B4-BE49-F238E27FC236}">
              <a16:creationId xmlns:a16="http://schemas.microsoft.com/office/drawing/2014/main" id="{16851640-0702-4F9A-9DF5-7C6E7380038F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889" name="Host Control  30">
          <a:extLst>
            <a:ext uri="{FF2B5EF4-FFF2-40B4-BE49-F238E27FC236}">
              <a16:creationId xmlns:a16="http://schemas.microsoft.com/office/drawing/2014/main" id="{F7648CF1-4FC2-40E7-BBCF-96632F009DA6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90" name="Host Control  32">
          <a:extLst>
            <a:ext uri="{FF2B5EF4-FFF2-40B4-BE49-F238E27FC236}">
              <a16:creationId xmlns:a16="http://schemas.microsoft.com/office/drawing/2014/main" id="{74801695-95BA-457D-816C-ADBC47AEF2A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891" name="Host Control  33">
          <a:extLst>
            <a:ext uri="{FF2B5EF4-FFF2-40B4-BE49-F238E27FC236}">
              <a16:creationId xmlns:a16="http://schemas.microsoft.com/office/drawing/2014/main" id="{E1AEDC9A-F06F-4E95-B5B2-F496C2AA42C3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892" name="Host Control  34">
          <a:extLst>
            <a:ext uri="{FF2B5EF4-FFF2-40B4-BE49-F238E27FC236}">
              <a16:creationId xmlns:a16="http://schemas.microsoft.com/office/drawing/2014/main" id="{D986829E-6F3E-41DA-BC21-26B91522C054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93" name="Host Control  36">
          <a:extLst>
            <a:ext uri="{FF2B5EF4-FFF2-40B4-BE49-F238E27FC236}">
              <a16:creationId xmlns:a16="http://schemas.microsoft.com/office/drawing/2014/main" id="{E24C0481-F3EF-497F-BEF4-81D850DC6FC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894" name="Host Control  37">
          <a:extLst>
            <a:ext uri="{FF2B5EF4-FFF2-40B4-BE49-F238E27FC236}">
              <a16:creationId xmlns:a16="http://schemas.microsoft.com/office/drawing/2014/main" id="{B2F631C5-FB1D-4D3B-9E71-C1BDEEEB57C7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895" name="Host Control  38">
          <a:extLst>
            <a:ext uri="{FF2B5EF4-FFF2-40B4-BE49-F238E27FC236}">
              <a16:creationId xmlns:a16="http://schemas.microsoft.com/office/drawing/2014/main" id="{C2F9C6DF-AFF5-48B6-999E-1AA9CDD6DE0F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96" name="Host Control  40">
          <a:extLst>
            <a:ext uri="{FF2B5EF4-FFF2-40B4-BE49-F238E27FC236}">
              <a16:creationId xmlns:a16="http://schemas.microsoft.com/office/drawing/2014/main" id="{EF964AFE-AC6D-4D43-BED6-C8B9D99B90D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897" name="Host Control  41">
          <a:extLst>
            <a:ext uri="{FF2B5EF4-FFF2-40B4-BE49-F238E27FC236}">
              <a16:creationId xmlns:a16="http://schemas.microsoft.com/office/drawing/2014/main" id="{C5B64D19-0837-4C4D-8B02-219484C22509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898" name="Host Control  42">
          <a:extLst>
            <a:ext uri="{FF2B5EF4-FFF2-40B4-BE49-F238E27FC236}">
              <a16:creationId xmlns:a16="http://schemas.microsoft.com/office/drawing/2014/main" id="{E191CC7C-DBD8-4FB2-A835-C9C0853C288D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899" name="Host Control  44">
          <a:extLst>
            <a:ext uri="{FF2B5EF4-FFF2-40B4-BE49-F238E27FC236}">
              <a16:creationId xmlns:a16="http://schemas.microsoft.com/office/drawing/2014/main" id="{D0877A76-BB42-4FD2-BA6C-5038D766F14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00" name="Host Control  45">
          <a:extLst>
            <a:ext uri="{FF2B5EF4-FFF2-40B4-BE49-F238E27FC236}">
              <a16:creationId xmlns:a16="http://schemas.microsoft.com/office/drawing/2014/main" id="{E13DD539-E077-449A-847F-B6F106B933D5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901" name="Host Control  46">
          <a:extLst>
            <a:ext uri="{FF2B5EF4-FFF2-40B4-BE49-F238E27FC236}">
              <a16:creationId xmlns:a16="http://schemas.microsoft.com/office/drawing/2014/main" id="{7B740481-2CDA-466B-BC44-2FE81F1AA06C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02" name="Host Control  5">
          <a:extLst>
            <a:ext uri="{FF2B5EF4-FFF2-40B4-BE49-F238E27FC236}">
              <a16:creationId xmlns:a16="http://schemas.microsoft.com/office/drawing/2014/main" id="{E3510671-70EC-4ECC-9CE8-E92277A8C6F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03" name="Host Control  6">
          <a:extLst>
            <a:ext uri="{FF2B5EF4-FFF2-40B4-BE49-F238E27FC236}">
              <a16:creationId xmlns:a16="http://schemas.microsoft.com/office/drawing/2014/main" id="{93FB97E2-B6E9-4598-BAD7-B8686EFCFB0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04" name="Host Control  7">
          <a:extLst>
            <a:ext uri="{FF2B5EF4-FFF2-40B4-BE49-F238E27FC236}">
              <a16:creationId xmlns:a16="http://schemas.microsoft.com/office/drawing/2014/main" id="{45A76C5E-3512-4523-B1F6-14D937D57FF5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05" name="Host Control  12">
          <a:extLst>
            <a:ext uri="{FF2B5EF4-FFF2-40B4-BE49-F238E27FC236}">
              <a16:creationId xmlns:a16="http://schemas.microsoft.com/office/drawing/2014/main" id="{F360E784-8322-4160-A037-6FB87DF9D50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06" name="Host Control  13">
          <a:extLst>
            <a:ext uri="{FF2B5EF4-FFF2-40B4-BE49-F238E27FC236}">
              <a16:creationId xmlns:a16="http://schemas.microsoft.com/office/drawing/2014/main" id="{D729D666-9FCB-4217-AE33-E63D3BEA53E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07" name="Host Control  14">
          <a:extLst>
            <a:ext uri="{FF2B5EF4-FFF2-40B4-BE49-F238E27FC236}">
              <a16:creationId xmlns:a16="http://schemas.microsoft.com/office/drawing/2014/main" id="{F2CC6C0E-176A-4B69-A0AA-5AC1F1D5A658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08" name="Host Control  16">
          <a:extLst>
            <a:ext uri="{FF2B5EF4-FFF2-40B4-BE49-F238E27FC236}">
              <a16:creationId xmlns:a16="http://schemas.microsoft.com/office/drawing/2014/main" id="{7B3985AB-7277-4B1D-9483-82D824149BC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09" name="Host Control  17">
          <a:extLst>
            <a:ext uri="{FF2B5EF4-FFF2-40B4-BE49-F238E27FC236}">
              <a16:creationId xmlns:a16="http://schemas.microsoft.com/office/drawing/2014/main" id="{CC54ADF2-4F5C-4E98-AEEC-1E856C7717F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10" name="Host Control  18">
          <a:extLst>
            <a:ext uri="{FF2B5EF4-FFF2-40B4-BE49-F238E27FC236}">
              <a16:creationId xmlns:a16="http://schemas.microsoft.com/office/drawing/2014/main" id="{9E7F7225-A8A4-414C-BB34-66C23CA2BBC6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11" name="Host Control  20">
          <a:extLst>
            <a:ext uri="{FF2B5EF4-FFF2-40B4-BE49-F238E27FC236}">
              <a16:creationId xmlns:a16="http://schemas.microsoft.com/office/drawing/2014/main" id="{F382AD97-0915-4EA6-9B1F-7817A0D7E29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12" name="Host Control  21">
          <a:extLst>
            <a:ext uri="{FF2B5EF4-FFF2-40B4-BE49-F238E27FC236}">
              <a16:creationId xmlns:a16="http://schemas.microsoft.com/office/drawing/2014/main" id="{FA2413A4-A1DD-4216-9E44-B71A9DDD534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13" name="Host Control  22">
          <a:extLst>
            <a:ext uri="{FF2B5EF4-FFF2-40B4-BE49-F238E27FC236}">
              <a16:creationId xmlns:a16="http://schemas.microsoft.com/office/drawing/2014/main" id="{7EAE35DA-AD6A-402F-9DB0-AA2844540CE3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14" name="Host Control  24">
          <a:extLst>
            <a:ext uri="{FF2B5EF4-FFF2-40B4-BE49-F238E27FC236}">
              <a16:creationId xmlns:a16="http://schemas.microsoft.com/office/drawing/2014/main" id="{E39D3C57-9F57-4F52-8021-4247C06E1F1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15" name="Host Control  25">
          <a:extLst>
            <a:ext uri="{FF2B5EF4-FFF2-40B4-BE49-F238E27FC236}">
              <a16:creationId xmlns:a16="http://schemas.microsoft.com/office/drawing/2014/main" id="{A2528160-915D-4C6D-8FB6-A160D803A9F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16" name="Host Control  26">
          <a:extLst>
            <a:ext uri="{FF2B5EF4-FFF2-40B4-BE49-F238E27FC236}">
              <a16:creationId xmlns:a16="http://schemas.microsoft.com/office/drawing/2014/main" id="{92556509-4DC3-4D86-9802-26D54334C200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17" name="Host Control  28">
          <a:extLst>
            <a:ext uri="{FF2B5EF4-FFF2-40B4-BE49-F238E27FC236}">
              <a16:creationId xmlns:a16="http://schemas.microsoft.com/office/drawing/2014/main" id="{9EE7D3FA-E9FF-45C8-8A0D-3FDE407B720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18" name="Host Control  29">
          <a:extLst>
            <a:ext uri="{FF2B5EF4-FFF2-40B4-BE49-F238E27FC236}">
              <a16:creationId xmlns:a16="http://schemas.microsoft.com/office/drawing/2014/main" id="{3A6E645F-9C8F-4549-859E-657FC7D83B7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19" name="Host Control  30">
          <a:extLst>
            <a:ext uri="{FF2B5EF4-FFF2-40B4-BE49-F238E27FC236}">
              <a16:creationId xmlns:a16="http://schemas.microsoft.com/office/drawing/2014/main" id="{F3554632-63E0-481F-B48F-B7573519090E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20" name="Host Control  32">
          <a:extLst>
            <a:ext uri="{FF2B5EF4-FFF2-40B4-BE49-F238E27FC236}">
              <a16:creationId xmlns:a16="http://schemas.microsoft.com/office/drawing/2014/main" id="{D8DFB7E6-879F-4AF2-BF5D-EFD9C0A8620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21" name="Host Control  33">
          <a:extLst>
            <a:ext uri="{FF2B5EF4-FFF2-40B4-BE49-F238E27FC236}">
              <a16:creationId xmlns:a16="http://schemas.microsoft.com/office/drawing/2014/main" id="{56A5516B-2F02-4275-AA86-31CADF96218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22" name="Host Control  34">
          <a:extLst>
            <a:ext uri="{FF2B5EF4-FFF2-40B4-BE49-F238E27FC236}">
              <a16:creationId xmlns:a16="http://schemas.microsoft.com/office/drawing/2014/main" id="{8A1B70BE-7F62-4945-884A-FCA79AB0DB26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23" name="Host Control  36">
          <a:extLst>
            <a:ext uri="{FF2B5EF4-FFF2-40B4-BE49-F238E27FC236}">
              <a16:creationId xmlns:a16="http://schemas.microsoft.com/office/drawing/2014/main" id="{78C4F1DC-0CE7-41F4-91FA-63D3B2830E3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24" name="Host Control  37">
          <a:extLst>
            <a:ext uri="{FF2B5EF4-FFF2-40B4-BE49-F238E27FC236}">
              <a16:creationId xmlns:a16="http://schemas.microsoft.com/office/drawing/2014/main" id="{4B6394C4-0FEE-4B05-A029-E72002A39D2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25" name="Host Control  38">
          <a:extLst>
            <a:ext uri="{FF2B5EF4-FFF2-40B4-BE49-F238E27FC236}">
              <a16:creationId xmlns:a16="http://schemas.microsoft.com/office/drawing/2014/main" id="{59A3A134-0554-433E-A868-BC14764142F1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26" name="Host Control  40">
          <a:extLst>
            <a:ext uri="{FF2B5EF4-FFF2-40B4-BE49-F238E27FC236}">
              <a16:creationId xmlns:a16="http://schemas.microsoft.com/office/drawing/2014/main" id="{8A73AAC8-72F5-4A10-83C0-FF23C9069B4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27" name="Host Control  41">
          <a:extLst>
            <a:ext uri="{FF2B5EF4-FFF2-40B4-BE49-F238E27FC236}">
              <a16:creationId xmlns:a16="http://schemas.microsoft.com/office/drawing/2014/main" id="{A76291C2-9C32-4E0E-ADC6-7C8AEF94F07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28" name="Host Control  42">
          <a:extLst>
            <a:ext uri="{FF2B5EF4-FFF2-40B4-BE49-F238E27FC236}">
              <a16:creationId xmlns:a16="http://schemas.microsoft.com/office/drawing/2014/main" id="{F0A331F0-E1DD-4904-BFF3-7DE5B237C192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29" name="Host Control  44">
          <a:extLst>
            <a:ext uri="{FF2B5EF4-FFF2-40B4-BE49-F238E27FC236}">
              <a16:creationId xmlns:a16="http://schemas.microsoft.com/office/drawing/2014/main" id="{D8E50B7F-ABF6-412A-88A8-9D8177F5D7D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30" name="Host Control  45">
          <a:extLst>
            <a:ext uri="{FF2B5EF4-FFF2-40B4-BE49-F238E27FC236}">
              <a16:creationId xmlns:a16="http://schemas.microsoft.com/office/drawing/2014/main" id="{577214A1-8A70-4286-98FA-1B38D2758F4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31" name="Host Control  46">
          <a:extLst>
            <a:ext uri="{FF2B5EF4-FFF2-40B4-BE49-F238E27FC236}">
              <a16:creationId xmlns:a16="http://schemas.microsoft.com/office/drawing/2014/main" id="{E9CB639A-7655-4AE5-9E9E-73EA4B0D1EBD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32" name="Host Control  5">
          <a:extLst>
            <a:ext uri="{FF2B5EF4-FFF2-40B4-BE49-F238E27FC236}">
              <a16:creationId xmlns:a16="http://schemas.microsoft.com/office/drawing/2014/main" id="{DD17F036-54AA-4BE1-9B3D-D561C1922C3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33" name="Host Control  6">
          <a:extLst>
            <a:ext uri="{FF2B5EF4-FFF2-40B4-BE49-F238E27FC236}">
              <a16:creationId xmlns:a16="http://schemas.microsoft.com/office/drawing/2014/main" id="{9E490905-07ED-43AF-897E-136C7E4F17FC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934" name="Host Control  7">
          <a:extLst>
            <a:ext uri="{FF2B5EF4-FFF2-40B4-BE49-F238E27FC236}">
              <a16:creationId xmlns:a16="http://schemas.microsoft.com/office/drawing/2014/main" id="{A7DDD16D-32D0-4F2E-A664-010B923D2812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35" name="Host Control  12">
          <a:extLst>
            <a:ext uri="{FF2B5EF4-FFF2-40B4-BE49-F238E27FC236}">
              <a16:creationId xmlns:a16="http://schemas.microsoft.com/office/drawing/2014/main" id="{9D6550FD-1427-42B6-A721-A9471938DC3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36" name="Host Control  13">
          <a:extLst>
            <a:ext uri="{FF2B5EF4-FFF2-40B4-BE49-F238E27FC236}">
              <a16:creationId xmlns:a16="http://schemas.microsoft.com/office/drawing/2014/main" id="{D829BA07-D97C-4A67-83CB-35C397F58EDA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937" name="Host Control  14">
          <a:extLst>
            <a:ext uri="{FF2B5EF4-FFF2-40B4-BE49-F238E27FC236}">
              <a16:creationId xmlns:a16="http://schemas.microsoft.com/office/drawing/2014/main" id="{B9ABF9EF-855C-48C4-A7DE-A8B6882ABF25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38" name="Host Control  16">
          <a:extLst>
            <a:ext uri="{FF2B5EF4-FFF2-40B4-BE49-F238E27FC236}">
              <a16:creationId xmlns:a16="http://schemas.microsoft.com/office/drawing/2014/main" id="{E4225CE8-D150-4935-B4C0-6242344FF4E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39" name="Host Control  17">
          <a:extLst>
            <a:ext uri="{FF2B5EF4-FFF2-40B4-BE49-F238E27FC236}">
              <a16:creationId xmlns:a16="http://schemas.microsoft.com/office/drawing/2014/main" id="{E5831464-BDB2-4C14-83F4-4EC250889BC1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940" name="Host Control  18">
          <a:extLst>
            <a:ext uri="{FF2B5EF4-FFF2-40B4-BE49-F238E27FC236}">
              <a16:creationId xmlns:a16="http://schemas.microsoft.com/office/drawing/2014/main" id="{CCAC72AA-C6DF-4BF5-9D41-7C07E10AE3C3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41" name="Host Control  20">
          <a:extLst>
            <a:ext uri="{FF2B5EF4-FFF2-40B4-BE49-F238E27FC236}">
              <a16:creationId xmlns:a16="http://schemas.microsoft.com/office/drawing/2014/main" id="{E4881DBE-0717-4F45-B885-F8DE5F35F18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42" name="Host Control  21">
          <a:extLst>
            <a:ext uri="{FF2B5EF4-FFF2-40B4-BE49-F238E27FC236}">
              <a16:creationId xmlns:a16="http://schemas.microsoft.com/office/drawing/2014/main" id="{6AC4EB99-C3BE-4DB0-9026-999FD0FAAFCA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943" name="Host Control  22">
          <a:extLst>
            <a:ext uri="{FF2B5EF4-FFF2-40B4-BE49-F238E27FC236}">
              <a16:creationId xmlns:a16="http://schemas.microsoft.com/office/drawing/2014/main" id="{9BE9EA87-3C54-4414-8C9F-900E5549DCF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44" name="Host Control  24">
          <a:extLst>
            <a:ext uri="{FF2B5EF4-FFF2-40B4-BE49-F238E27FC236}">
              <a16:creationId xmlns:a16="http://schemas.microsoft.com/office/drawing/2014/main" id="{5FE29E5C-7320-4BF4-8DAB-AF6E24AA92A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45" name="Host Control  25">
          <a:extLst>
            <a:ext uri="{FF2B5EF4-FFF2-40B4-BE49-F238E27FC236}">
              <a16:creationId xmlns:a16="http://schemas.microsoft.com/office/drawing/2014/main" id="{814ED8CC-B981-4236-8C8F-87B61448BE9F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946" name="Host Control  26">
          <a:extLst>
            <a:ext uri="{FF2B5EF4-FFF2-40B4-BE49-F238E27FC236}">
              <a16:creationId xmlns:a16="http://schemas.microsoft.com/office/drawing/2014/main" id="{CA89D426-BAE5-4D1D-A205-05AF5E133947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47" name="Host Control  28">
          <a:extLst>
            <a:ext uri="{FF2B5EF4-FFF2-40B4-BE49-F238E27FC236}">
              <a16:creationId xmlns:a16="http://schemas.microsoft.com/office/drawing/2014/main" id="{F1B99669-350B-4C28-8C4E-521EC823E69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48" name="Host Control  29">
          <a:extLst>
            <a:ext uri="{FF2B5EF4-FFF2-40B4-BE49-F238E27FC236}">
              <a16:creationId xmlns:a16="http://schemas.microsoft.com/office/drawing/2014/main" id="{5B736262-26EF-450D-97F6-C3C7F385D261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949" name="Host Control  30">
          <a:extLst>
            <a:ext uri="{FF2B5EF4-FFF2-40B4-BE49-F238E27FC236}">
              <a16:creationId xmlns:a16="http://schemas.microsoft.com/office/drawing/2014/main" id="{94D2C1C9-2B9F-4630-B83E-DFA4D525CC64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50" name="Host Control  32">
          <a:extLst>
            <a:ext uri="{FF2B5EF4-FFF2-40B4-BE49-F238E27FC236}">
              <a16:creationId xmlns:a16="http://schemas.microsoft.com/office/drawing/2014/main" id="{B7B14C27-80DF-4B65-A41E-3A21E7F7648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51" name="Host Control  33">
          <a:extLst>
            <a:ext uri="{FF2B5EF4-FFF2-40B4-BE49-F238E27FC236}">
              <a16:creationId xmlns:a16="http://schemas.microsoft.com/office/drawing/2014/main" id="{EC824C1C-5CA3-4BCA-8D5B-F75E91F69BC3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952" name="Host Control  34">
          <a:extLst>
            <a:ext uri="{FF2B5EF4-FFF2-40B4-BE49-F238E27FC236}">
              <a16:creationId xmlns:a16="http://schemas.microsoft.com/office/drawing/2014/main" id="{3AD9345D-D02D-4266-9E5D-3BC6EC7BFF0D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53" name="Host Control  36">
          <a:extLst>
            <a:ext uri="{FF2B5EF4-FFF2-40B4-BE49-F238E27FC236}">
              <a16:creationId xmlns:a16="http://schemas.microsoft.com/office/drawing/2014/main" id="{BD3E5E41-9574-47D6-A2DC-52607569EAE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54" name="Host Control  37">
          <a:extLst>
            <a:ext uri="{FF2B5EF4-FFF2-40B4-BE49-F238E27FC236}">
              <a16:creationId xmlns:a16="http://schemas.microsoft.com/office/drawing/2014/main" id="{2CEDC382-4AD9-44D8-ABC9-8DAD28EBD8E0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955" name="Host Control  38">
          <a:extLst>
            <a:ext uri="{FF2B5EF4-FFF2-40B4-BE49-F238E27FC236}">
              <a16:creationId xmlns:a16="http://schemas.microsoft.com/office/drawing/2014/main" id="{C04C0031-A770-4BBD-99B6-FAE246B89E16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56" name="Host Control  40">
          <a:extLst>
            <a:ext uri="{FF2B5EF4-FFF2-40B4-BE49-F238E27FC236}">
              <a16:creationId xmlns:a16="http://schemas.microsoft.com/office/drawing/2014/main" id="{C459627B-52A4-4DDB-B51E-CBEFC628FDD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57" name="Host Control  41">
          <a:extLst>
            <a:ext uri="{FF2B5EF4-FFF2-40B4-BE49-F238E27FC236}">
              <a16:creationId xmlns:a16="http://schemas.microsoft.com/office/drawing/2014/main" id="{85044339-CC3C-4CAF-BC3C-82B6C72D55CE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958" name="Host Control  42">
          <a:extLst>
            <a:ext uri="{FF2B5EF4-FFF2-40B4-BE49-F238E27FC236}">
              <a16:creationId xmlns:a16="http://schemas.microsoft.com/office/drawing/2014/main" id="{DD1514AD-A218-46C0-8AEA-31FE291980B0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59" name="Host Control  44">
          <a:extLst>
            <a:ext uri="{FF2B5EF4-FFF2-40B4-BE49-F238E27FC236}">
              <a16:creationId xmlns:a16="http://schemas.microsoft.com/office/drawing/2014/main" id="{445B00AE-1441-4F1E-8798-AE3D61DF394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60" name="Host Control  45">
          <a:extLst>
            <a:ext uri="{FF2B5EF4-FFF2-40B4-BE49-F238E27FC236}">
              <a16:creationId xmlns:a16="http://schemas.microsoft.com/office/drawing/2014/main" id="{86AF4D91-95A3-45E8-B48F-722C7873C896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961" name="Host Control  46">
          <a:extLst>
            <a:ext uri="{FF2B5EF4-FFF2-40B4-BE49-F238E27FC236}">
              <a16:creationId xmlns:a16="http://schemas.microsoft.com/office/drawing/2014/main" id="{CD078FE2-0160-4D97-8910-C7D6ED91C5C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62" name="Host Control  5">
          <a:extLst>
            <a:ext uri="{FF2B5EF4-FFF2-40B4-BE49-F238E27FC236}">
              <a16:creationId xmlns:a16="http://schemas.microsoft.com/office/drawing/2014/main" id="{34CF1A4F-B7BC-41A8-8519-F22280CF97D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63" name="Host Control  6">
          <a:extLst>
            <a:ext uri="{FF2B5EF4-FFF2-40B4-BE49-F238E27FC236}">
              <a16:creationId xmlns:a16="http://schemas.microsoft.com/office/drawing/2014/main" id="{DC8A99ED-D10A-45C0-A203-959D2100AB1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64" name="Host Control  7">
          <a:extLst>
            <a:ext uri="{FF2B5EF4-FFF2-40B4-BE49-F238E27FC236}">
              <a16:creationId xmlns:a16="http://schemas.microsoft.com/office/drawing/2014/main" id="{0D6A82F0-1ECF-4CAA-B5AA-B4E8F8E7A05E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65" name="Host Control  12">
          <a:extLst>
            <a:ext uri="{FF2B5EF4-FFF2-40B4-BE49-F238E27FC236}">
              <a16:creationId xmlns:a16="http://schemas.microsoft.com/office/drawing/2014/main" id="{E05EB53D-9769-4C6B-864B-C3212B4E73B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66" name="Host Control  13">
          <a:extLst>
            <a:ext uri="{FF2B5EF4-FFF2-40B4-BE49-F238E27FC236}">
              <a16:creationId xmlns:a16="http://schemas.microsoft.com/office/drawing/2014/main" id="{458EB802-2DCA-4126-B9B2-FC84989DCE8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67" name="Host Control  14">
          <a:extLst>
            <a:ext uri="{FF2B5EF4-FFF2-40B4-BE49-F238E27FC236}">
              <a16:creationId xmlns:a16="http://schemas.microsoft.com/office/drawing/2014/main" id="{84A5AC08-12AD-4D3C-B864-CB29B443F40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68" name="Host Control  16">
          <a:extLst>
            <a:ext uri="{FF2B5EF4-FFF2-40B4-BE49-F238E27FC236}">
              <a16:creationId xmlns:a16="http://schemas.microsoft.com/office/drawing/2014/main" id="{60E6576D-8094-4DB7-9E4C-CC78648EB00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69" name="Host Control  17">
          <a:extLst>
            <a:ext uri="{FF2B5EF4-FFF2-40B4-BE49-F238E27FC236}">
              <a16:creationId xmlns:a16="http://schemas.microsoft.com/office/drawing/2014/main" id="{386678A9-363B-4B7C-A96A-07798FD2F5B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70" name="Host Control  18">
          <a:extLst>
            <a:ext uri="{FF2B5EF4-FFF2-40B4-BE49-F238E27FC236}">
              <a16:creationId xmlns:a16="http://schemas.microsoft.com/office/drawing/2014/main" id="{93E52FC9-9BAC-41CC-9400-2201C6D0D387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71" name="Host Control  20">
          <a:extLst>
            <a:ext uri="{FF2B5EF4-FFF2-40B4-BE49-F238E27FC236}">
              <a16:creationId xmlns:a16="http://schemas.microsoft.com/office/drawing/2014/main" id="{91BCC414-F712-4C82-A1B7-979C392FC3E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72" name="Host Control  21">
          <a:extLst>
            <a:ext uri="{FF2B5EF4-FFF2-40B4-BE49-F238E27FC236}">
              <a16:creationId xmlns:a16="http://schemas.microsoft.com/office/drawing/2014/main" id="{97D5DB97-69D7-4873-87E4-DC7DB7C86C7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73" name="Host Control  22">
          <a:extLst>
            <a:ext uri="{FF2B5EF4-FFF2-40B4-BE49-F238E27FC236}">
              <a16:creationId xmlns:a16="http://schemas.microsoft.com/office/drawing/2014/main" id="{81A3CF1F-1396-4330-B8C7-CF761550570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74" name="Host Control  24">
          <a:extLst>
            <a:ext uri="{FF2B5EF4-FFF2-40B4-BE49-F238E27FC236}">
              <a16:creationId xmlns:a16="http://schemas.microsoft.com/office/drawing/2014/main" id="{2AF599DB-F0BB-421C-B138-A5B8EE5360B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75" name="Host Control  25">
          <a:extLst>
            <a:ext uri="{FF2B5EF4-FFF2-40B4-BE49-F238E27FC236}">
              <a16:creationId xmlns:a16="http://schemas.microsoft.com/office/drawing/2014/main" id="{DDAD14C4-714D-4994-BB65-09AC4E31D05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76" name="Host Control  26">
          <a:extLst>
            <a:ext uri="{FF2B5EF4-FFF2-40B4-BE49-F238E27FC236}">
              <a16:creationId xmlns:a16="http://schemas.microsoft.com/office/drawing/2014/main" id="{0095EA22-F143-42C0-8000-85CA013D8F41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77" name="Host Control  28">
          <a:extLst>
            <a:ext uri="{FF2B5EF4-FFF2-40B4-BE49-F238E27FC236}">
              <a16:creationId xmlns:a16="http://schemas.microsoft.com/office/drawing/2014/main" id="{266C43FA-B5BE-4617-9447-BED8E6E68FB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78" name="Host Control  29">
          <a:extLst>
            <a:ext uri="{FF2B5EF4-FFF2-40B4-BE49-F238E27FC236}">
              <a16:creationId xmlns:a16="http://schemas.microsoft.com/office/drawing/2014/main" id="{0A200BEB-0146-440B-9776-66A5452E7FC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79" name="Host Control  30">
          <a:extLst>
            <a:ext uri="{FF2B5EF4-FFF2-40B4-BE49-F238E27FC236}">
              <a16:creationId xmlns:a16="http://schemas.microsoft.com/office/drawing/2014/main" id="{5C18C482-C0D3-41B6-9F6D-828B12E10AFC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80" name="Host Control  32">
          <a:extLst>
            <a:ext uri="{FF2B5EF4-FFF2-40B4-BE49-F238E27FC236}">
              <a16:creationId xmlns:a16="http://schemas.microsoft.com/office/drawing/2014/main" id="{1F3A37DD-20BA-4248-BBEC-2DAA09F92CA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81" name="Host Control  33">
          <a:extLst>
            <a:ext uri="{FF2B5EF4-FFF2-40B4-BE49-F238E27FC236}">
              <a16:creationId xmlns:a16="http://schemas.microsoft.com/office/drawing/2014/main" id="{E2CFCBE0-B8E2-4233-9279-B91AFF72ADA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82" name="Host Control  34">
          <a:extLst>
            <a:ext uri="{FF2B5EF4-FFF2-40B4-BE49-F238E27FC236}">
              <a16:creationId xmlns:a16="http://schemas.microsoft.com/office/drawing/2014/main" id="{42ADF448-2BFE-4240-B5CD-54F56B4D6425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83" name="Host Control  36">
          <a:extLst>
            <a:ext uri="{FF2B5EF4-FFF2-40B4-BE49-F238E27FC236}">
              <a16:creationId xmlns:a16="http://schemas.microsoft.com/office/drawing/2014/main" id="{0B02C95E-F205-4805-B25C-8D46559B5A0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84" name="Host Control  37">
          <a:extLst>
            <a:ext uri="{FF2B5EF4-FFF2-40B4-BE49-F238E27FC236}">
              <a16:creationId xmlns:a16="http://schemas.microsoft.com/office/drawing/2014/main" id="{4ED86532-F30D-4FC6-B533-D093EA62A31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85" name="Host Control  38">
          <a:extLst>
            <a:ext uri="{FF2B5EF4-FFF2-40B4-BE49-F238E27FC236}">
              <a16:creationId xmlns:a16="http://schemas.microsoft.com/office/drawing/2014/main" id="{99897B0B-BB7E-4CE4-9670-ECA341771092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86" name="Host Control  40">
          <a:extLst>
            <a:ext uri="{FF2B5EF4-FFF2-40B4-BE49-F238E27FC236}">
              <a16:creationId xmlns:a16="http://schemas.microsoft.com/office/drawing/2014/main" id="{FD7BCA03-32A9-4A97-8AFC-D8AC629A39B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87" name="Host Control  41">
          <a:extLst>
            <a:ext uri="{FF2B5EF4-FFF2-40B4-BE49-F238E27FC236}">
              <a16:creationId xmlns:a16="http://schemas.microsoft.com/office/drawing/2014/main" id="{FE60787C-1E0B-4D7E-90C6-A4B059CC3FA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88" name="Host Control  42">
          <a:extLst>
            <a:ext uri="{FF2B5EF4-FFF2-40B4-BE49-F238E27FC236}">
              <a16:creationId xmlns:a16="http://schemas.microsoft.com/office/drawing/2014/main" id="{82231AD1-1F9B-4C5B-824F-C1D2870B365D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89" name="Host Control  44">
          <a:extLst>
            <a:ext uri="{FF2B5EF4-FFF2-40B4-BE49-F238E27FC236}">
              <a16:creationId xmlns:a16="http://schemas.microsoft.com/office/drawing/2014/main" id="{E718BC6D-C055-4488-9DE5-2A94BC3A84A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90" name="Host Control  45">
          <a:extLst>
            <a:ext uri="{FF2B5EF4-FFF2-40B4-BE49-F238E27FC236}">
              <a16:creationId xmlns:a16="http://schemas.microsoft.com/office/drawing/2014/main" id="{B935F9D9-1F98-4603-92A8-226966B4829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991" name="Host Control  46">
          <a:extLst>
            <a:ext uri="{FF2B5EF4-FFF2-40B4-BE49-F238E27FC236}">
              <a16:creationId xmlns:a16="http://schemas.microsoft.com/office/drawing/2014/main" id="{C2B0214B-8B1C-4DBC-8C62-38A09B0DBD33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92" name="Host Control  5">
          <a:extLst>
            <a:ext uri="{FF2B5EF4-FFF2-40B4-BE49-F238E27FC236}">
              <a16:creationId xmlns:a16="http://schemas.microsoft.com/office/drawing/2014/main" id="{55093CAC-A9C8-43F8-8B39-03864AB13DF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93" name="Host Control  6">
          <a:extLst>
            <a:ext uri="{FF2B5EF4-FFF2-40B4-BE49-F238E27FC236}">
              <a16:creationId xmlns:a16="http://schemas.microsoft.com/office/drawing/2014/main" id="{F087081B-EAA6-4647-B95E-E9D4905F775B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994" name="Host Control  7">
          <a:extLst>
            <a:ext uri="{FF2B5EF4-FFF2-40B4-BE49-F238E27FC236}">
              <a16:creationId xmlns:a16="http://schemas.microsoft.com/office/drawing/2014/main" id="{A9417A78-C184-4C21-820A-0204525A23E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95" name="Host Control  12">
          <a:extLst>
            <a:ext uri="{FF2B5EF4-FFF2-40B4-BE49-F238E27FC236}">
              <a16:creationId xmlns:a16="http://schemas.microsoft.com/office/drawing/2014/main" id="{F4E639F1-252A-4B77-A7CC-0E088D8FFDE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96" name="Host Control  13">
          <a:extLst>
            <a:ext uri="{FF2B5EF4-FFF2-40B4-BE49-F238E27FC236}">
              <a16:creationId xmlns:a16="http://schemas.microsoft.com/office/drawing/2014/main" id="{2A88C353-6A16-49B0-8032-F44FEEE0C7A9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997" name="Host Control  14">
          <a:extLst>
            <a:ext uri="{FF2B5EF4-FFF2-40B4-BE49-F238E27FC236}">
              <a16:creationId xmlns:a16="http://schemas.microsoft.com/office/drawing/2014/main" id="{AF1B569D-0E12-41F4-990E-2A4E428D7329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998" name="Host Control  16">
          <a:extLst>
            <a:ext uri="{FF2B5EF4-FFF2-40B4-BE49-F238E27FC236}">
              <a16:creationId xmlns:a16="http://schemas.microsoft.com/office/drawing/2014/main" id="{70352896-E6BE-45E4-9982-A5830A1BA51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999" name="Host Control  17">
          <a:extLst>
            <a:ext uri="{FF2B5EF4-FFF2-40B4-BE49-F238E27FC236}">
              <a16:creationId xmlns:a16="http://schemas.microsoft.com/office/drawing/2014/main" id="{4737271F-AE47-4D96-95D6-219791C5D2BE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00" name="Host Control  18">
          <a:extLst>
            <a:ext uri="{FF2B5EF4-FFF2-40B4-BE49-F238E27FC236}">
              <a16:creationId xmlns:a16="http://schemas.microsoft.com/office/drawing/2014/main" id="{943043F8-4562-45A7-9CBC-0CFF0F52DAAE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01" name="Host Control  20">
          <a:extLst>
            <a:ext uri="{FF2B5EF4-FFF2-40B4-BE49-F238E27FC236}">
              <a16:creationId xmlns:a16="http://schemas.microsoft.com/office/drawing/2014/main" id="{04BE1848-53BD-4C47-B8BD-D1262483939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02" name="Host Control  21">
          <a:extLst>
            <a:ext uri="{FF2B5EF4-FFF2-40B4-BE49-F238E27FC236}">
              <a16:creationId xmlns:a16="http://schemas.microsoft.com/office/drawing/2014/main" id="{524E6B2C-C9A5-4DF7-BD42-92AD485F5C2E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03" name="Host Control  22">
          <a:extLst>
            <a:ext uri="{FF2B5EF4-FFF2-40B4-BE49-F238E27FC236}">
              <a16:creationId xmlns:a16="http://schemas.microsoft.com/office/drawing/2014/main" id="{B423A479-7EDB-4FC5-B3CA-42C158E5B38B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04" name="Host Control  24">
          <a:extLst>
            <a:ext uri="{FF2B5EF4-FFF2-40B4-BE49-F238E27FC236}">
              <a16:creationId xmlns:a16="http://schemas.microsoft.com/office/drawing/2014/main" id="{B442C6B1-0DAE-40C4-AADF-AB8462BA79E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05" name="Host Control  25">
          <a:extLst>
            <a:ext uri="{FF2B5EF4-FFF2-40B4-BE49-F238E27FC236}">
              <a16:creationId xmlns:a16="http://schemas.microsoft.com/office/drawing/2014/main" id="{DCC0A680-639B-4A44-8A19-AB92A3239365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06" name="Host Control  26">
          <a:extLst>
            <a:ext uri="{FF2B5EF4-FFF2-40B4-BE49-F238E27FC236}">
              <a16:creationId xmlns:a16="http://schemas.microsoft.com/office/drawing/2014/main" id="{4D77E26F-D519-45B2-8C22-F0BB6BD82093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07" name="Host Control  28">
          <a:extLst>
            <a:ext uri="{FF2B5EF4-FFF2-40B4-BE49-F238E27FC236}">
              <a16:creationId xmlns:a16="http://schemas.microsoft.com/office/drawing/2014/main" id="{B62EDF42-7A87-4D88-B868-668B83C6AFE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08" name="Host Control  29">
          <a:extLst>
            <a:ext uri="{FF2B5EF4-FFF2-40B4-BE49-F238E27FC236}">
              <a16:creationId xmlns:a16="http://schemas.microsoft.com/office/drawing/2014/main" id="{712C7969-2828-4097-9819-57D40E3254B1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09" name="Host Control  30">
          <a:extLst>
            <a:ext uri="{FF2B5EF4-FFF2-40B4-BE49-F238E27FC236}">
              <a16:creationId xmlns:a16="http://schemas.microsoft.com/office/drawing/2014/main" id="{666058D1-4C31-4EEA-AC1A-72975BB01F7E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10" name="Host Control  32">
          <a:extLst>
            <a:ext uri="{FF2B5EF4-FFF2-40B4-BE49-F238E27FC236}">
              <a16:creationId xmlns:a16="http://schemas.microsoft.com/office/drawing/2014/main" id="{19952CCF-A56C-46E1-B497-D91458920A3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11" name="Host Control  33">
          <a:extLst>
            <a:ext uri="{FF2B5EF4-FFF2-40B4-BE49-F238E27FC236}">
              <a16:creationId xmlns:a16="http://schemas.microsoft.com/office/drawing/2014/main" id="{2126E16D-83CC-46F0-9E66-70C2F9491544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12" name="Host Control  34">
          <a:extLst>
            <a:ext uri="{FF2B5EF4-FFF2-40B4-BE49-F238E27FC236}">
              <a16:creationId xmlns:a16="http://schemas.microsoft.com/office/drawing/2014/main" id="{9F063236-84A1-43E4-B2DC-0D995887D3BA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13" name="Host Control  36">
          <a:extLst>
            <a:ext uri="{FF2B5EF4-FFF2-40B4-BE49-F238E27FC236}">
              <a16:creationId xmlns:a16="http://schemas.microsoft.com/office/drawing/2014/main" id="{201DC51D-D314-4BEB-9EB0-A9D44CAF6D2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14" name="Host Control  37">
          <a:extLst>
            <a:ext uri="{FF2B5EF4-FFF2-40B4-BE49-F238E27FC236}">
              <a16:creationId xmlns:a16="http://schemas.microsoft.com/office/drawing/2014/main" id="{3E81B0B6-A2D4-4D02-873B-14C76CF68252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15" name="Host Control  38">
          <a:extLst>
            <a:ext uri="{FF2B5EF4-FFF2-40B4-BE49-F238E27FC236}">
              <a16:creationId xmlns:a16="http://schemas.microsoft.com/office/drawing/2014/main" id="{C8C65945-4E8F-4B30-8A94-6735008AC8AF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16" name="Host Control  40">
          <a:extLst>
            <a:ext uri="{FF2B5EF4-FFF2-40B4-BE49-F238E27FC236}">
              <a16:creationId xmlns:a16="http://schemas.microsoft.com/office/drawing/2014/main" id="{07BF9BF0-DD92-4558-9F5E-2E2C054D046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17" name="Host Control  41">
          <a:extLst>
            <a:ext uri="{FF2B5EF4-FFF2-40B4-BE49-F238E27FC236}">
              <a16:creationId xmlns:a16="http://schemas.microsoft.com/office/drawing/2014/main" id="{19FB9D58-9521-4F4B-8513-F7A61606F3A4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18" name="Host Control  42">
          <a:extLst>
            <a:ext uri="{FF2B5EF4-FFF2-40B4-BE49-F238E27FC236}">
              <a16:creationId xmlns:a16="http://schemas.microsoft.com/office/drawing/2014/main" id="{EBE6646C-770C-467D-BC37-94D9B479D137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19" name="Host Control  44">
          <a:extLst>
            <a:ext uri="{FF2B5EF4-FFF2-40B4-BE49-F238E27FC236}">
              <a16:creationId xmlns:a16="http://schemas.microsoft.com/office/drawing/2014/main" id="{39F6BA12-00DE-4344-8336-DA330383796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20" name="Host Control  45">
          <a:extLst>
            <a:ext uri="{FF2B5EF4-FFF2-40B4-BE49-F238E27FC236}">
              <a16:creationId xmlns:a16="http://schemas.microsoft.com/office/drawing/2014/main" id="{C26B53A5-D8F4-4CF7-B1B3-29B8F78BB96C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21" name="Host Control  46">
          <a:extLst>
            <a:ext uri="{FF2B5EF4-FFF2-40B4-BE49-F238E27FC236}">
              <a16:creationId xmlns:a16="http://schemas.microsoft.com/office/drawing/2014/main" id="{BA795C12-AFE6-4A8A-A458-AFF8310C08F7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22" name="Host Control  5">
          <a:extLst>
            <a:ext uri="{FF2B5EF4-FFF2-40B4-BE49-F238E27FC236}">
              <a16:creationId xmlns:a16="http://schemas.microsoft.com/office/drawing/2014/main" id="{7E4007EE-B4B2-4199-87AC-1AAAAC0A7BB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23" name="Host Control  6">
          <a:extLst>
            <a:ext uri="{FF2B5EF4-FFF2-40B4-BE49-F238E27FC236}">
              <a16:creationId xmlns:a16="http://schemas.microsoft.com/office/drawing/2014/main" id="{EBCF3FC7-0014-4936-9239-62B3D0C0BA0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24" name="Host Control  7">
          <a:extLst>
            <a:ext uri="{FF2B5EF4-FFF2-40B4-BE49-F238E27FC236}">
              <a16:creationId xmlns:a16="http://schemas.microsoft.com/office/drawing/2014/main" id="{3F04374A-17B8-4E2A-BD29-A09D1BBA963E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25" name="Host Control  12">
          <a:extLst>
            <a:ext uri="{FF2B5EF4-FFF2-40B4-BE49-F238E27FC236}">
              <a16:creationId xmlns:a16="http://schemas.microsoft.com/office/drawing/2014/main" id="{77479E55-7A28-4C22-A093-3508BDA0EC5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26" name="Host Control  13">
          <a:extLst>
            <a:ext uri="{FF2B5EF4-FFF2-40B4-BE49-F238E27FC236}">
              <a16:creationId xmlns:a16="http://schemas.microsoft.com/office/drawing/2014/main" id="{1EBBC030-519F-4F8F-8552-AA07EDAFC16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27" name="Host Control  14">
          <a:extLst>
            <a:ext uri="{FF2B5EF4-FFF2-40B4-BE49-F238E27FC236}">
              <a16:creationId xmlns:a16="http://schemas.microsoft.com/office/drawing/2014/main" id="{2FC503A1-953E-4C79-B73B-7F52CB039C4F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28" name="Host Control  16">
          <a:extLst>
            <a:ext uri="{FF2B5EF4-FFF2-40B4-BE49-F238E27FC236}">
              <a16:creationId xmlns:a16="http://schemas.microsoft.com/office/drawing/2014/main" id="{CBBA0D55-905B-4A3D-874E-34BEBBDF99A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29" name="Host Control  17">
          <a:extLst>
            <a:ext uri="{FF2B5EF4-FFF2-40B4-BE49-F238E27FC236}">
              <a16:creationId xmlns:a16="http://schemas.microsoft.com/office/drawing/2014/main" id="{40E376F7-C2CE-4AC4-9343-D15305E265E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30" name="Host Control  18">
          <a:extLst>
            <a:ext uri="{FF2B5EF4-FFF2-40B4-BE49-F238E27FC236}">
              <a16:creationId xmlns:a16="http://schemas.microsoft.com/office/drawing/2014/main" id="{83F812FC-E2B4-4EB3-9538-CE36B176786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31" name="Host Control  20">
          <a:extLst>
            <a:ext uri="{FF2B5EF4-FFF2-40B4-BE49-F238E27FC236}">
              <a16:creationId xmlns:a16="http://schemas.microsoft.com/office/drawing/2014/main" id="{27FDD31D-AFBD-45A3-9248-F342D009A71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32" name="Host Control  21">
          <a:extLst>
            <a:ext uri="{FF2B5EF4-FFF2-40B4-BE49-F238E27FC236}">
              <a16:creationId xmlns:a16="http://schemas.microsoft.com/office/drawing/2014/main" id="{70D3B6BC-220B-4BC7-8A02-BD0F3F2D21E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33" name="Host Control  22">
          <a:extLst>
            <a:ext uri="{FF2B5EF4-FFF2-40B4-BE49-F238E27FC236}">
              <a16:creationId xmlns:a16="http://schemas.microsoft.com/office/drawing/2014/main" id="{E09D9ADF-3802-4C02-B124-25031177AE65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34" name="Host Control  24">
          <a:extLst>
            <a:ext uri="{FF2B5EF4-FFF2-40B4-BE49-F238E27FC236}">
              <a16:creationId xmlns:a16="http://schemas.microsoft.com/office/drawing/2014/main" id="{A14A6BAD-B444-4B55-BCB6-A6525D365E1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35" name="Host Control  25">
          <a:extLst>
            <a:ext uri="{FF2B5EF4-FFF2-40B4-BE49-F238E27FC236}">
              <a16:creationId xmlns:a16="http://schemas.microsoft.com/office/drawing/2014/main" id="{6DAEA15A-759A-4CF0-AC00-8E23726CCB9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36" name="Host Control  26">
          <a:extLst>
            <a:ext uri="{FF2B5EF4-FFF2-40B4-BE49-F238E27FC236}">
              <a16:creationId xmlns:a16="http://schemas.microsoft.com/office/drawing/2014/main" id="{7BD0A776-6417-4FC5-AF4F-53F48CAE058F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37" name="Host Control  28">
          <a:extLst>
            <a:ext uri="{FF2B5EF4-FFF2-40B4-BE49-F238E27FC236}">
              <a16:creationId xmlns:a16="http://schemas.microsoft.com/office/drawing/2014/main" id="{F4C81155-C378-4FD4-A6A0-0FD20F7D10B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38" name="Host Control  29">
          <a:extLst>
            <a:ext uri="{FF2B5EF4-FFF2-40B4-BE49-F238E27FC236}">
              <a16:creationId xmlns:a16="http://schemas.microsoft.com/office/drawing/2014/main" id="{FC1DEB4C-1BF2-45D6-996A-6FDE9276821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39" name="Host Control  30">
          <a:extLst>
            <a:ext uri="{FF2B5EF4-FFF2-40B4-BE49-F238E27FC236}">
              <a16:creationId xmlns:a16="http://schemas.microsoft.com/office/drawing/2014/main" id="{6CBEACDF-90DD-40CA-BDB5-C4DD2A828E7D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40" name="Host Control  32">
          <a:extLst>
            <a:ext uri="{FF2B5EF4-FFF2-40B4-BE49-F238E27FC236}">
              <a16:creationId xmlns:a16="http://schemas.microsoft.com/office/drawing/2014/main" id="{A40853E2-557F-4F1D-A2F4-BB3ECF4BD1D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41" name="Host Control  33">
          <a:extLst>
            <a:ext uri="{FF2B5EF4-FFF2-40B4-BE49-F238E27FC236}">
              <a16:creationId xmlns:a16="http://schemas.microsoft.com/office/drawing/2014/main" id="{934F2215-0E8E-46EE-A290-8B9B2BC1B60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42" name="Host Control  34">
          <a:extLst>
            <a:ext uri="{FF2B5EF4-FFF2-40B4-BE49-F238E27FC236}">
              <a16:creationId xmlns:a16="http://schemas.microsoft.com/office/drawing/2014/main" id="{F44410F7-F9C1-4277-9279-9353D51C2486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43" name="Host Control  36">
          <a:extLst>
            <a:ext uri="{FF2B5EF4-FFF2-40B4-BE49-F238E27FC236}">
              <a16:creationId xmlns:a16="http://schemas.microsoft.com/office/drawing/2014/main" id="{A6580771-7F62-47CA-A755-26E23872B2E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44" name="Host Control  37">
          <a:extLst>
            <a:ext uri="{FF2B5EF4-FFF2-40B4-BE49-F238E27FC236}">
              <a16:creationId xmlns:a16="http://schemas.microsoft.com/office/drawing/2014/main" id="{4653C92C-FFF1-4F5C-B5E0-6DCC656D6F7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45" name="Host Control  38">
          <a:extLst>
            <a:ext uri="{FF2B5EF4-FFF2-40B4-BE49-F238E27FC236}">
              <a16:creationId xmlns:a16="http://schemas.microsoft.com/office/drawing/2014/main" id="{684446CF-A2ED-4CA3-8431-B364C35651E5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46" name="Host Control  40">
          <a:extLst>
            <a:ext uri="{FF2B5EF4-FFF2-40B4-BE49-F238E27FC236}">
              <a16:creationId xmlns:a16="http://schemas.microsoft.com/office/drawing/2014/main" id="{5079C239-DAF9-4817-8CBE-CBC9DCA0818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47" name="Host Control  41">
          <a:extLst>
            <a:ext uri="{FF2B5EF4-FFF2-40B4-BE49-F238E27FC236}">
              <a16:creationId xmlns:a16="http://schemas.microsoft.com/office/drawing/2014/main" id="{8F3E4E6D-DE4F-40F6-9EFE-A9313B487FE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48" name="Host Control  42">
          <a:extLst>
            <a:ext uri="{FF2B5EF4-FFF2-40B4-BE49-F238E27FC236}">
              <a16:creationId xmlns:a16="http://schemas.microsoft.com/office/drawing/2014/main" id="{3051D2F7-1116-4ED0-8EF1-D62D22067743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49" name="Host Control  44">
          <a:extLst>
            <a:ext uri="{FF2B5EF4-FFF2-40B4-BE49-F238E27FC236}">
              <a16:creationId xmlns:a16="http://schemas.microsoft.com/office/drawing/2014/main" id="{9913AD2D-0828-4BBE-9EAF-AB4B04D6CFD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50" name="Host Control  45">
          <a:extLst>
            <a:ext uri="{FF2B5EF4-FFF2-40B4-BE49-F238E27FC236}">
              <a16:creationId xmlns:a16="http://schemas.microsoft.com/office/drawing/2014/main" id="{735F9E3A-7325-42AC-B998-7F43EA9DD29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51" name="Host Control  46">
          <a:extLst>
            <a:ext uri="{FF2B5EF4-FFF2-40B4-BE49-F238E27FC236}">
              <a16:creationId xmlns:a16="http://schemas.microsoft.com/office/drawing/2014/main" id="{D0AB4D5A-865E-4F48-886F-C6ACA7F9956D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52" name="Host Control  5">
          <a:extLst>
            <a:ext uri="{FF2B5EF4-FFF2-40B4-BE49-F238E27FC236}">
              <a16:creationId xmlns:a16="http://schemas.microsoft.com/office/drawing/2014/main" id="{0B607767-CF4C-42F4-9164-FA626298982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53" name="Host Control  6">
          <a:extLst>
            <a:ext uri="{FF2B5EF4-FFF2-40B4-BE49-F238E27FC236}">
              <a16:creationId xmlns:a16="http://schemas.microsoft.com/office/drawing/2014/main" id="{29313C64-D22D-43EC-B53B-E953C35E12BB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54" name="Host Control  7">
          <a:extLst>
            <a:ext uri="{FF2B5EF4-FFF2-40B4-BE49-F238E27FC236}">
              <a16:creationId xmlns:a16="http://schemas.microsoft.com/office/drawing/2014/main" id="{4B571A37-7EE4-412D-9D3D-5D283AB7D21E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55" name="Host Control  12">
          <a:extLst>
            <a:ext uri="{FF2B5EF4-FFF2-40B4-BE49-F238E27FC236}">
              <a16:creationId xmlns:a16="http://schemas.microsoft.com/office/drawing/2014/main" id="{EAA1041A-E4DE-4A13-B6E9-AB415E0CA35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56" name="Host Control  13">
          <a:extLst>
            <a:ext uri="{FF2B5EF4-FFF2-40B4-BE49-F238E27FC236}">
              <a16:creationId xmlns:a16="http://schemas.microsoft.com/office/drawing/2014/main" id="{0AF50365-8835-4D51-9B06-8EB56C7E183B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57" name="Host Control  14">
          <a:extLst>
            <a:ext uri="{FF2B5EF4-FFF2-40B4-BE49-F238E27FC236}">
              <a16:creationId xmlns:a16="http://schemas.microsoft.com/office/drawing/2014/main" id="{B725F9D4-E1B7-4978-A6F1-A0A786AA9B2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58" name="Host Control  16">
          <a:extLst>
            <a:ext uri="{FF2B5EF4-FFF2-40B4-BE49-F238E27FC236}">
              <a16:creationId xmlns:a16="http://schemas.microsoft.com/office/drawing/2014/main" id="{783EFF81-D9DE-48C5-AC4F-89B0B9CF486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59" name="Host Control  17">
          <a:extLst>
            <a:ext uri="{FF2B5EF4-FFF2-40B4-BE49-F238E27FC236}">
              <a16:creationId xmlns:a16="http://schemas.microsoft.com/office/drawing/2014/main" id="{1E2963A5-24A1-49A4-8243-7FDFF13FC008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60" name="Host Control  18">
          <a:extLst>
            <a:ext uri="{FF2B5EF4-FFF2-40B4-BE49-F238E27FC236}">
              <a16:creationId xmlns:a16="http://schemas.microsoft.com/office/drawing/2014/main" id="{E3F1D2DC-0185-4E1A-88BA-221AA6FE86B0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61" name="Host Control  20">
          <a:extLst>
            <a:ext uri="{FF2B5EF4-FFF2-40B4-BE49-F238E27FC236}">
              <a16:creationId xmlns:a16="http://schemas.microsoft.com/office/drawing/2014/main" id="{BC6D1BC5-EFA3-4D57-8C40-4749C0C0CE3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62" name="Host Control  21">
          <a:extLst>
            <a:ext uri="{FF2B5EF4-FFF2-40B4-BE49-F238E27FC236}">
              <a16:creationId xmlns:a16="http://schemas.microsoft.com/office/drawing/2014/main" id="{42E14F5D-4B2D-47EA-945E-073D7F3315BC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63" name="Host Control  22">
          <a:extLst>
            <a:ext uri="{FF2B5EF4-FFF2-40B4-BE49-F238E27FC236}">
              <a16:creationId xmlns:a16="http://schemas.microsoft.com/office/drawing/2014/main" id="{24CA6BD3-9385-4F56-8F8A-FA232182A615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64" name="Host Control  24">
          <a:extLst>
            <a:ext uri="{FF2B5EF4-FFF2-40B4-BE49-F238E27FC236}">
              <a16:creationId xmlns:a16="http://schemas.microsoft.com/office/drawing/2014/main" id="{AA29CDC9-3A87-462C-94A0-C55ACDAE73E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65" name="Host Control  25">
          <a:extLst>
            <a:ext uri="{FF2B5EF4-FFF2-40B4-BE49-F238E27FC236}">
              <a16:creationId xmlns:a16="http://schemas.microsoft.com/office/drawing/2014/main" id="{A459779A-A719-4CF1-BE51-8DF5DE707966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66" name="Host Control  26">
          <a:extLst>
            <a:ext uri="{FF2B5EF4-FFF2-40B4-BE49-F238E27FC236}">
              <a16:creationId xmlns:a16="http://schemas.microsoft.com/office/drawing/2014/main" id="{E3789428-1532-4406-B3B1-269AC9B4781E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67" name="Host Control  28">
          <a:extLst>
            <a:ext uri="{FF2B5EF4-FFF2-40B4-BE49-F238E27FC236}">
              <a16:creationId xmlns:a16="http://schemas.microsoft.com/office/drawing/2014/main" id="{3F25C041-26A8-46E0-89B4-6E7CE999FF9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68" name="Host Control  29">
          <a:extLst>
            <a:ext uri="{FF2B5EF4-FFF2-40B4-BE49-F238E27FC236}">
              <a16:creationId xmlns:a16="http://schemas.microsoft.com/office/drawing/2014/main" id="{62BAAA3A-D174-4A92-BB5A-D939452ECAB1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69" name="Host Control  30">
          <a:extLst>
            <a:ext uri="{FF2B5EF4-FFF2-40B4-BE49-F238E27FC236}">
              <a16:creationId xmlns:a16="http://schemas.microsoft.com/office/drawing/2014/main" id="{EEBC016F-6D35-448E-935B-A0641CC4BB60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70" name="Host Control  32">
          <a:extLst>
            <a:ext uri="{FF2B5EF4-FFF2-40B4-BE49-F238E27FC236}">
              <a16:creationId xmlns:a16="http://schemas.microsoft.com/office/drawing/2014/main" id="{F30468E4-7807-4955-BDE9-4E955FFD334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71" name="Host Control  33">
          <a:extLst>
            <a:ext uri="{FF2B5EF4-FFF2-40B4-BE49-F238E27FC236}">
              <a16:creationId xmlns:a16="http://schemas.microsoft.com/office/drawing/2014/main" id="{5A134654-F864-49DF-B00E-4CEAFD4CAFCF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72" name="Host Control  34">
          <a:extLst>
            <a:ext uri="{FF2B5EF4-FFF2-40B4-BE49-F238E27FC236}">
              <a16:creationId xmlns:a16="http://schemas.microsoft.com/office/drawing/2014/main" id="{8A6794A0-9C23-4F37-A394-9AAD722895DD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73" name="Host Control  36">
          <a:extLst>
            <a:ext uri="{FF2B5EF4-FFF2-40B4-BE49-F238E27FC236}">
              <a16:creationId xmlns:a16="http://schemas.microsoft.com/office/drawing/2014/main" id="{A488BBCE-D806-4195-99D8-912AF748CD7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74" name="Host Control  37">
          <a:extLst>
            <a:ext uri="{FF2B5EF4-FFF2-40B4-BE49-F238E27FC236}">
              <a16:creationId xmlns:a16="http://schemas.microsoft.com/office/drawing/2014/main" id="{4F3CD303-055B-4C05-B6AF-4E40D271DD8F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75" name="Host Control  38">
          <a:extLst>
            <a:ext uri="{FF2B5EF4-FFF2-40B4-BE49-F238E27FC236}">
              <a16:creationId xmlns:a16="http://schemas.microsoft.com/office/drawing/2014/main" id="{9A247231-B33D-42E5-A0A4-C344DA564A30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76" name="Host Control  40">
          <a:extLst>
            <a:ext uri="{FF2B5EF4-FFF2-40B4-BE49-F238E27FC236}">
              <a16:creationId xmlns:a16="http://schemas.microsoft.com/office/drawing/2014/main" id="{0E435670-1224-4A5D-A84B-DEA66512BEE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77" name="Host Control  41">
          <a:extLst>
            <a:ext uri="{FF2B5EF4-FFF2-40B4-BE49-F238E27FC236}">
              <a16:creationId xmlns:a16="http://schemas.microsoft.com/office/drawing/2014/main" id="{EA35C46C-3BCE-4BC2-9407-E3A3A0C7A04F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78" name="Host Control  42">
          <a:extLst>
            <a:ext uri="{FF2B5EF4-FFF2-40B4-BE49-F238E27FC236}">
              <a16:creationId xmlns:a16="http://schemas.microsoft.com/office/drawing/2014/main" id="{CFD2A314-7CC0-499B-AEB9-F67E8CA01B97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79" name="Host Control  44">
          <a:extLst>
            <a:ext uri="{FF2B5EF4-FFF2-40B4-BE49-F238E27FC236}">
              <a16:creationId xmlns:a16="http://schemas.microsoft.com/office/drawing/2014/main" id="{77FDF109-5D23-4C55-8959-9CD4FC43D74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080" name="Host Control  45">
          <a:extLst>
            <a:ext uri="{FF2B5EF4-FFF2-40B4-BE49-F238E27FC236}">
              <a16:creationId xmlns:a16="http://schemas.microsoft.com/office/drawing/2014/main" id="{6E4A140D-1BAA-4DB8-A8AF-A171C00AEDA2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081" name="Host Control  46">
          <a:extLst>
            <a:ext uri="{FF2B5EF4-FFF2-40B4-BE49-F238E27FC236}">
              <a16:creationId xmlns:a16="http://schemas.microsoft.com/office/drawing/2014/main" id="{C0F34C50-9CE8-44B4-A9E7-BFBD18F55724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82" name="Host Control  5">
          <a:extLst>
            <a:ext uri="{FF2B5EF4-FFF2-40B4-BE49-F238E27FC236}">
              <a16:creationId xmlns:a16="http://schemas.microsoft.com/office/drawing/2014/main" id="{58B68C34-5D68-4906-8CD4-95328587A71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83" name="Host Control  6">
          <a:extLst>
            <a:ext uri="{FF2B5EF4-FFF2-40B4-BE49-F238E27FC236}">
              <a16:creationId xmlns:a16="http://schemas.microsoft.com/office/drawing/2014/main" id="{DA90F989-BAF3-40C3-9B9A-535E01186AF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84" name="Host Control  7">
          <a:extLst>
            <a:ext uri="{FF2B5EF4-FFF2-40B4-BE49-F238E27FC236}">
              <a16:creationId xmlns:a16="http://schemas.microsoft.com/office/drawing/2014/main" id="{B9FBB18B-C2AD-4283-A1FE-C65FF1AFDC60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85" name="Host Control  12">
          <a:extLst>
            <a:ext uri="{FF2B5EF4-FFF2-40B4-BE49-F238E27FC236}">
              <a16:creationId xmlns:a16="http://schemas.microsoft.com/office/drawing/2014/main" id="{82DCFE68-5EC0-43E8-ADA2-59C8F6DEA85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86" name="Host Control  13">
          <a:extLst>
            <a:ext uri="{FF2B5EF4-FFF2-40B4-BE49-F238E27FC236}">
              <a16:creationId xmlns:a16="http://schemas.microsoft.com/office/drawing/2014/main" id="{360D2FAC-929A-4988-BB9E-EC1735C6E4B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87" name="Host Control  14">
          <a:extLst>
            <a:ext uri="{FF2B5EF4-FFF2-40B4-BE49-F238E27FC236}">
              <a16:creationId xmlns:a16="http://schemas.microsoft.com/office/drawing/2014/main" id="{8225BF89-BAFD-4257-91FA-A36F148AF114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88" name="Host Control  16">
          <a:extLst>
            <a:ext uri="{FF2B5EF4-FFF2-40B4-BE49-F238E27FC236}">
              <a16:creationId xmlns:a16="http://schemas.microsoft.com/office/drawing/2014/main" id="{6883866B-3534-4286-8491-93EEFCB6AC6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89" name="Host Control  17">
          <a:extLst>
            <a:ext uri="{FF2B5EF4-FFF2-40B4-BE49-F238E27FC236}">
              <a16:creationId xmlns:a16="http://schemas.microsoft.com/office/drawing/2014/main" id="{F0FEB9AE-159E-4645-AD11-ED6914EDC01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90" name="Host Control  18">
          <a:extLst>
            <a:ext uri="{FF2B5EF4-FFF2-40B4-BE49-F238E27FC236}">
              <a16:creationId xmlns:a16="http://schemas.microsoft.com/office/drawing/2014/main" id="{55766823-5199-4DE6-B1AD-847BD5E996D8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91" name="Host Control  20">
          <a:extLst>
            <a:ext uri="{FF2B5EF4-FFF2-40B4-BE49-F238E27FC236}">
              <a16:creationId xmlns:a16="http://schemas.microsoft.com/office/drawing/2014/main" id="{A4BA6F08-BC94-47B6-81CC-72F3B1A1512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92" name="Host Control  21">
          <a:extLst>
            <a:ext uri="{FF2B5EF4-FFF2-40B4-BE49-F238E27FC236}">
              <a16:creationId xmlns:a16="http://schemas.microsoft.com/office/drawing/2014/main" id="{FA263C6E-EC06-463A-888B-B72E348404E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93" name="Host Control  22">
          <a:extLst>
            <a:ext uri="{FF2B5EF4-FFF2-40B4-BE49-F238E27FC236}">
              <a16:creationId xmlns:a16="http://schemas.microsoft.com/office/drawing/2014/main" id="{8458FCB5-7970-4DEA-BCCB-A9AB2E907F95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94" name="Host Control  24">
          <a:extLst>
            <a:ext uri="{FF2B5EF4-FFF2-40B4-BE49-F238E27FC236}">
              <a16:creationId xmlns:a16="http://schemas.microsoft.com/office/drawing/2014/main" id="{0214DBA0-8BBA-436B-97B5-EB37540FDCE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95" name="Host Control  25">
          <a:extLst>
            <a:ext uri="{FF2B5EF4-FFF2-40B4-BE49-F238E27FC236}">
              <a16:creationId xmlns:a16="http://schemas.microsoft.com/office/drawing/2014/main" id="{1133F35C-BE9E-4FC3-89A6-DF5EC0336A9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96" name="Host Control  26">
          <a:extLst>
            <a:ext uri="{FF2B5EF4-FFF2-40B4-BE49-F238E27FC236}">
              <a16:creationId xmlns:a16="http://schemas.microsoft.com/office/drawing/2014/main" id="{748DE9D6-A0F2-41CE-A295-2CB889CADD51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97" name="Host Control  28">
          <a:extLst>
            <a:ext uri="{FF2B5EF4-FFF2-40B4-BE49-F238E27FC236}">
              <a16:creationId xmlns:a16="http://schemas.microsoft.com/office/drawing/2014/main" id="{A06CA75B-C25C-489B-AA40-BDDE082DF21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098" name="Host Control  29">
          <a:extLst>
            <a:ext uri="{FF2B5EF4-FFF2-40B4-BE49-F238E27FC236}">
              <a16:creationId xmlns:a16="http://schemas.microsoft.com/office/drawing/2014/main" id="{93F42C25-B07D-4720-B736-5B84E3A4586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099" name="Host Control  30">
          <a:extLst>
            <a:ext uri="{FF2B5EF4-FFF2-40B4-BE49-F238E27FC236}">
              <a16:creationId xmlns:a16="http://schemas.microsoft.com/office/drawing/2014/main" id="{B5343952-1DA1-4F05-A5BA-FF81F966F597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00" name="Host Control  32">
          <a:extLst>
            <a:ext uri="{FF2B5EF4-FFF2-40B4-BE49-F238E27FC236}">
              <a16:creationId xmlns:a16="http://schemas.microsoft.com/office/drawing/2014/main" id="{3CDADA63-BF33-4BC1-9590-DBA9C0FB3F8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01" name="Host Control  33">
          <a:extLst>
            <a:ext uri="{FF2B5EF4-FFF2-40B4-BE49-F238E27FC236}">
              <a16:creationId xmlns:a16="http://schemas.microsoft.com/office/drawing/2014/main" id="{B4EBC3F9-6B4E-4C9D-A327-2A302C082B6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02" name="Host Control  34">
          <a:extLst>
            <a:ext uri="{FF2B5EF4-FFF2-40B4-BE49-F238E27FC236}">
              <a16:creationId xmlns:a16="http://schemas.microsoft.com/office/drawing/2014/main" id="{E3641184-6F91-486A-9E82-242E7F8787C8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03" name="Host Control  36">
          <a:extLst>
            <a:ext uri="{FF2B5EF4-FFF2-40B4-BE49-F238E27FC236}">
              <a16:creationId xmlns:a16="http://schemas.microsoft.com/office/drawing/2014/main" id="{061FF907-1003-43F1-B865-175FEBAECB6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04" name="Host Control  37">
          <a:extLst>
            <a:ext uri="{FF2B5EF4-FFF2-40B4-BE49-F238E27FC236}">
              <a16:creationId xmlns:a16="http://schemas.microsoft.com/office/drawing/2014/main" id="{29312C34-C42B-44E5-A274-7757865CA36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05" name="Host Control  38">
          <a:extLst>
            <a:ext uri="{FF2B5EF4-FFF2-40B4-BE49-F238E27FC236}">
              <a16:creationId xmlns:a16="http://schemas.microsoft.com/office/drawing/2014/main" id="{7C92B34B-4F10-478E-B121-156DB8EDA6E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06" name="Host Control  40">
          <a:extLst>
            <a:ext uri="{FF2B5EF4-FFF2-40B4-BE49-F238E27FC236}">
              <a16:creationId xmlns:a16="http://schemas.microsoft.com/office/drawing/2014/main" id="{DC3F1974-1CC6-44F9-BE32-5137FB7D071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07" name="Host Control  41">
          <a:extLst>
            <a:ext uri="{FF2B5EF4-FFF2-40B4-BE49-F238E27FC236}">
              <a16:creationId xmlns:a16="http://schemas.microsoft.com/office/drawing/2014/main" id="{ECB60CCF-F085-4EBD-BBB5-256CDF1E960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08" name="Host Control  42">
          <a:extLst>
            <a:ext uri="{FF2B5EF4-FFF2-40B4-BE49-F238E27FC236}">
              <a16:creationId xmlns:a16="http://schemas.microsoft.com/office/drawing/2014/main" id="{EF64D31D-3561-44C9-B272-2DF4AD621A1B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09" name="Host Control  44">
          <a:extLst>
            <a:ext uri="{FF2B5EF4-FFF2-40B4-BE49-F238E27FC236}">
              <a16:creationId xmlns:a16="http://schemas.microsoft.com/office/drawing/2014/main" id="{0DDC6E6B-4E71-4D26-A676-4CA6C4EB1FC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10" name="Host Control  45">
          <a:extLst>
            <a:ext uri="{FF2B5EF4-FFF2-40B4-BE49-F238E27FC236}">
              <a16:creationId xmlns:a16="http://schemas.microsoft.com/office/drawing/2014/main" id="{AFD93B5A-2165-4167-93D5-BF4DA6BD19A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11" name="Host Control  46">
          <a:extLst>
            <a:ext uri="{FF2B5EF4-FFF2-40B4-BE49-F238E27FC236}">
              <a16:creationId xmlns:a16="http://schemas.microsoft.com/office/drawing/2014/main" id="{D43493C9-AAEB-42D6-839A-538B1DF5C18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12" name="Host Control  5">
          <a:extLst>
            <a:ext uri="{FF2B5EF4-FFF2-40B4-BE49-F238E27FC236}">
              <a16:creationId xmlns:a16="http://schemas.microsoft.com/office/drawing/2014/main" id="{C7FA8D0F-E1C6-4A08-952A-300B6AB188E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13" name="Host Control  6">
          <a:extLst>
            <a:ext uri="{FF2B5EF4-FFF2-40B4-BE49-F238E27FC236}">
              <a16:creationId xmlns:a16="http://schemas.microsoft.com/office/drawing/2014/main" id="{1617731D-8AAA-4013-BD53-DC7A2DEF9E12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14" name="Host Control  7">
          <a:extLst>
            <a:ext uri="{FF2B5EF4-FFF2-40B4-BE49-F238E27FC236}">
              <a16:creationId xmlns:a16="http://schemas.microsoft.com/office/drawing/2014/main" id="{1F24F04E-76FC-45B7-9AB9-77CFF856EDD4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15" name="Host Control  12">
          <a:extLst>
            <a:ext uri="{FF2B5EF4-FFF2-40B4-BE49-F238E27FC236}">
              <a16:creationId xmlns:a16="http://schemas.microsoft.com/office/drawing/2014/main" id="{8A858A61-1BD8-4BAB-AFF0-709378606C6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16" name="Host Control  13">
          <a:extLst>
            <a:ext uri="{FF2B5EF4-FFF2-40B4-BE49-F238E27FC236}">
              <a16:creationId xmlns:a16="http://schemas.microsoft.com/office/drawing/2014/main" id="{AA1362A3-E06C-4E50-A45F-515DCE236A88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17" name="Host Control  14">
          <a:extLst>
            <a:ext uri="{FF2B5EF4-FFF2-40B4-BE49-F238E27FC236}">
              <a16:creationId xmlns:a16="http://schemas.microsoft.com/office/drawing/2014/main" id="{B231ABC6-CA50-43FB-B7AB-B4D560FC829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18" name="Host Control  16">
          <a:extLst>
            <a:ext uri="{FF2B5EF4-FFF2-40B4-BE49-F238E27FC236}">
              <a16:creationId xmlns:a16="http://schemas.microsoft.com/office/drawing/2014/main" id="{D9213812-E7F7-42E7-9185-BF2AA79713D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19" name="Host Control  17">
          <a:extLst>
            <a:ext uri="{FF2B5EF4-FFF2-40B4-BE49-F238E27FC236}">
              <a16:creationId xmlns:a16="http://schemas.microsoft.com/office/drawing/2014/main" id="{AE76DDC7-040D-408F-BAA5-54B3AE812AF0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20" name="Host Control  18">
          <a:extLst>
            <a:ext uri="{FF2B5EF4-FFF2-40B4-BE49-F238E27FC236}">
              <a16:creationId xmlns:a16="http://schemas.microsoft.com/office/drawing/2014/main" id="{441C08A0-4683-445E-96FB-D5D9A08318AA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21" name="Host Control  20">
          <a:extLst>
            <a:ext uri="{FF2B5EF4-FFF2-40B4-BE49-F238E27FC236}">
              <a16:creationId xmlns:a16="http://schemas.microsoft.com/office/drawing/2014/main" id="{EB9DEDD9-1026-4E35-821A-8DD10421D07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22" name="Host Control  21">
          <a:extLst>
            <a:ext uri="{FF2B5EF4-FFF2-40B4-BE49-F238E27FC236}">
              <a16:creationId xmlns:a16="http://schemas.microsoft.com/office/drawing/2014/main" id="{A3499570-1CBB-4F21-9765-0822950693EC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23" name="Host Control  22">
          <a:extLst>
            <a:ext uri="{FF2B5EF4-FFF2-40B4-BE49-F238E27FC236}">
              <a16:creationId xmlns:a16="http://schemas.microsoft.com/office/drawing/2014/main" id="{CB4DC0AF-486E-40A4-A9F8-13049AC930EC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24" name="Host Control  24">
          <a:extLst>
            <a:ext uri="{FF2B5EF4-FFF2-40B4-BE49-F238E27FC236}">
              <a16:creationId xmlns:a16="http://schemas.microsoft.com/office/drawing/2014/main" id="{709B413A-2309-4A98-9A9F-43C6D8EFFEF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25" name="Host Control  25">
          <a:extLst>
            <a:ext uri="{FF2B5EF4-FFF2-40B4-BE49-F238E27FC236}">
              <a16:creationId xmlns:a16="http://schemas.microsoft.com/office/drawing/2014/main" id="{2F5AEBE5-0CE2-41F5-AA02-71C812681936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26" name="Host Control  26">
          <a:extLst>
            <a:ext uri="{FF2B5EF4-FFF2-40B4-BE49-F238E27FC236}">
              <a16:creationId xmlns:a16="http://schemas.microsoft.com/office/drawing/2014/main" id="{96BD859F-8362-4D16-94EE-0F270D102CA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27" name="Host Control  28">
          <a:extLst>
            <a:ext uri="{FF2B5EF4-FFF2-40B4-BE49-F238E27FC236}">
              <a16:creationId xmlns:a16="http://schemas.microsoft.com/office/drawing/2014/main" id="{C69B39E0-0858-4B5A-8AEE-8F9ECCC607A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28" name="Host Control  29">
          <a:extLst>
            <a:ext uri="{FF2B5EF4-FFF2-40B4-BE49-F238E27FC236}">
              <a16:creationId xmlns:a16="http://schemas.microsoft.com/office/drawing/2014/main" id="{DC7994C4-D761-4CDF-A6A7-B1CEC245F157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29" name="Host Control  30">
          <a:extLst>
            <a:ext uri="{FF2B5EF4-FFF2-40B4-BE49-F238E27FC236}">
              <a16:creationId xmlns:a16="http://schemas.microsoft.com/office/drawing/2014/main" id="{22FD1581-B3B8-4FB4-99CF-82C41EA0ADF9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30" name="Host Control  32">
          <a:extLst>
            <a:ext uri="{FF2B5EF4-FFF2-40B4-BE49-F238E27FC236}">
              <a16:creationId xmlns:a16="http://schemas.microsoft.com/office/drawing/2014/main" id="{EA2D698D-8AF9-4448-9535-4CE379C65DB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31" name="Host Control  33">
          <a:extLst>
            <a:ext uri="{FF2B5EF4-FFF2-40B4-BE49-F238E27FC236}">
              <a16:creationId xmlns:a16="http://schemas.microsoft.com/office/drawing/2014/main" id="{C0BD456D-B953-4A48-BC59-7A842CA45438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32" name="Host Control  34">
          <a:extLst>
            <a:ext uri="{FF2B5EF4-FFF2-40B4-BE49-F238E27FC236}">
              <a16:creationId xmlns:a16="http://schemas.microsoft.com/office/drawing/2014/main" id="{4B1929DA-0B6C-42BA-834B-5FBE7182C61A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33" name="Host Control  36">
          <a:extLst>
            <a:ext uri="{FF2B5EF4-FFF2-40B4-BE49-F238E27FC236}">
              <a16:creationId xmlns:a16="http://schemas.microsoft.com/office/drawing/2014/main" id="{934F847F-A8AD-4740-B06A-316545DEDF8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34" name="Host Control  37">
          <a:extLst>
            <a:ext uri="{FF2B5EF4-FFF2-40B4-BE49-F238E27FC236}">
              <a16:creationId xmlns:a16="http://schemas.microsoft.com/office/drawing/2014/main" id="{56C6EC2B-F311-46EB-8BAA-862DF8E1C58F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35" name="Host Control  38">
          <a:extLst>
            <a:ext uri="{FF2B5EF4-FFF2-40B4-BE49-F238E27FC236}">
              <a16:creationId xmlns:a16="http://schemas.microsoft.com/office/drawing/2014/main" id="{7A29BA3B-7182-4196-BC31-658404861C8D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36" name="Host Control  40">
          <a:extLst>
            <a:ext uri="{FF2B5EF4-FFF2-40B4-BE49-F238E27FC236}">
              <a16:creationId xmlns:a16="http://schemas.microsoft.com/office/drawing/2014/main" id="{75F74E94-E3C7-44E3-83A9-A912B26D45A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37" name="Host Control  41">
          <a:extLst>
            <a:ext uri="{FF2B5EF4-FFF2-40B4-BE49-F238E27FC236}">
              <a16:creationId xmlns:a16="http://schemas.microsoft.com/office/drawing/2014/main" id="{3A49B9EA-5601-4E3C-AFBA-A5BE5C71AD19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38" name="Host Control  42">
          <a:extLst>
            <a:ext uri="{FF2B5EF4-FFF2-40B4-BE49-F238E27FC236}">
              <a16:creationId xmlns:a16="http://schemas.microsoft.com/office/drawing/2014/main" id="{3EFFCF02-F8C8-4430-8FFC-F29F2F06478A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39" name="Host Control  44">
          <a:extLst>
            <a:ext uri="{FF2B5EF4-FFF2-40B4-BE49-F238E27FC236}">
              <a16:creationId xmlns:a16="http://schemas.microsoft.com/office/drawing/2014/main" id="{0091DD84-A06B-4E53-B061-6775256B496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40" name="Host Control  45">
          <a:extLst>
            <a:ext uri="{FF2B5EF4-FFF2-40B4-BE49-F238E27FC236}">
              <a16:creationId xmlns:a16="http://schemas.microsoft.com/office/drawing/2014/main" id="{497A35D6-C9A5-4BB5-9E96-AB07DFD209EC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41" name="Host Control  46">
          <a:extLst>
            <a:ext uri="{FF2B5EF4-FFF2-40B4-BE49-F238E27FC236}">
              <a16:creationId xmlns:a16="http://schemas.microsoft.com/office/drawing/2014/main" id="{AD1508ED-A74F-437F-A4AC-D57E9C22402B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42" name="Host Control  5">
          <a:extLst>
            <a:ext uri="{FF2B5EF4-FFF2-40B4-BE49-F238E27FC236}">
              <a16:creationId xmlns:a16="http://schemas.microsoft.com/office/drawing/2014/main" id="{A403AE6A-F9EA-40EF-9A47-098FFF9CC31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43" name="Host Control  6">
          <a:extLst>
            <a:ext uri="{FF2B5EF4-FFF2-40B4-BE49-F238E27FC236}">
              <a16:creationId xmlns:a16="http://schemas.microsoft.com/office/drawing/2014/main" id="{6EE8BC00-C95D-4CC2-962F-48F62F7DD34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44" name="Host Control  7">
          <a:extLst>
            <a:ext uri="{FF2B5EF4-FFF2-40B4-BE49-F238E27FC236}">
              <a16:creationId xmlns:a16="http://schemas.microsoft.com/office/drawing/2014/main" id="{A6C9F3F8-18C8-4284-9929-446B6551772E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45" name="Host Control  12">
          <a:extLst>
            <a:ext uri="{FF2B5EF4-FFF2-40B4-BE49-F238E27FC236}">
              <a16:creationId xmlns:a16="http://schemas.microsoft.com/office/drawing/2014/main" id="{D8887607-8C98-462C-AEE2-6DA9B345A15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46" name="Host Control  13">
          <a:extLst>
            <a:ext uri="{FF2B5EF4-FFF2-40B4-BE49-F238E27FC236}">
              <a16:creationId xmlns:a16="http://schemas.microsoft.com/office/drawing/2014/main" id="{046F8C3E-75CF-4F4C-80E3-4DC6638936A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47" name="Host Control  14">
          <a:extLst>
            <a:ext uri="{FF2B5EF4-FFF2-40B4-BE49-F238E27FC236}">
              <a16:creationId xmlns:a16="http://schemas.microsoft.com/office/drawing/2014/main" id="{040C867C-B51B-4B7E-B907-689C1CF2702F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48" name="Host Control  16">
          <a:extLst>
            <a:ext uri="{FF2B5EF4-FFF2-40B4-BE49-F238E27FC236}">
              <a16:creationId xmlns:a16="http://schemas.microsoft.com/office/drawing/2014/main" id="{583B7E37-5759-4B1F-97E9-FC74C99A12E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49" name="Host Control  17">
          <a:extLst>
            <a:ext uri="{FF2B5EF4-FFF2-40B4-BE49-F238E27FC236}">
              <a16:creationId xmlns:a16="http://schemas.microsoft.com/office/drawing/2014/main" id="{870C86AA-850E-4E55-9227-73C52006AA1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50" name="Host Control  18">
          <a:extLst>
            <a:ext uri="{FF2B5EF4-FFF2-40B4-BE49-F238E27FC236}">
              <a16:creationId xmlns:a16="http://schemas.microsoft.com/office/drawing/2014/main" id="{05A4B1B8-B9F3-453A-9060-4E777FB8122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51" name="Host Control  20">
          <a:extLst>
            <a:ext uri="{FF2B5EF4-FFF2-40B4-BE49-F238E27FC236}">
              <a16:creationId xmlns:a16="http://schemas.microsoft.com/office/drawing/2014/main" id="{52BAEAF2-810D-4992-8BD3-431B2332377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52" name="Host Control  21">
          <a:extLst>
            <a:ext uri="{FF2B5EF4-FFF2-40B4-BE49-F238E27FC236}">
              <a16:creationId xmlns:a16="http://schemas.microsoft.com/office/drawing/2014/main" id="{2C34BBC1-1E54-401C-8055-A31D06687EA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53" name="Host Control  22">
          <a:extLst>
            <a:ext uri="{FF2B5EF4-FFF2-40B4-BE49-F238E27FC236}">
              <a16:creationId xmlns:a16="http://schemas.microsoft.com/office/drawing/2014/main" id="{1B708E09-5294-4364-844B-18C461F0387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54" name="Host Control  24">
          <a:extLst>
            <a:ext uri="{FF2B5EF4-FFF2-40B4-BE49-F238E27FC236}">
              <a16:creationId xmlns:a16="http://schemas.microsoft.com/office/drawing/2014/main" id="{3EB9594E-7488-45FE-B8A3-8767A423D9C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55" name="Host Control  25">
          <a:extLst>
            <a:ext uri="{FF2B5EF4-FFF2-40B4-BE49-F238E27FC236}">
              <a16:creationId xmlns:a16="http://schemas.microsoft.com/office/drawing/2014/main" id="{7E4D8ED6-DDD4-4F68-81E9-7AA86C403E4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56" name="Host Control  26">
          <a:extLst>
            <a:ext uri="{FF2B5EF4-FFF2-40B4-BE49-F238E27FC236}">
              <a16:creationId xmlns:a16="http://schemas.microsoft.com/office/drawing/2014/main" id="{178BB7D8-1A61-4AB8-8D3A-249A99F097D7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57" name="Host Control  28">
          <a:extLst>
            <a:ext uri="{FF2B5EF4-FFF2-40B4-BE49-F238E27FC236}">
              <a16:creationId xmlns:a16="http://schemas.microsoft.com/office/drawing/2014/main" id="{5D9EF1C2-747E-42E6-83E2-4F058549052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58" name="Host Control  29">
          <a:extLst>
            <a:ext uri="{FF2B5EF4-FFF2-40B4-BE49-F238E27FC236}">
              <a16:creationId xmlns:a16="http://schemas.microsoft.com/office/drawing/2014/main" id="{C212171A-0CEC-4651-B211-84ED8309B4D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59" name="Host Control  30">
          <a:extLst>
            <a:ext uri="{FF2B5EF4-FFF2-40B4-BE49-F238E27FC236}">
              <a16:creationId xmlns:a16="http://schemas.microsoft.com/office/drawing/2014/main" id="{D4CAE1D3-12ED-4D45-A43E-1944317680F6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60" name="Host Control  32">
          <a:extLst>
            <a:ext uri="{FF2B5EF4-FFF2-40B4-BE49-F238E27FC236}">
              <a16:creationId xmlns:a16="http://schemas.microsoft.com/office/drawing/2014/main" id="{72376A0E-A33A-4843-9D41-5CB2F0D8081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61" name="Host Control  33">
          <a:extLst>
            <a:ext uri="{FF2B5EF4-FFF2-40B4-BE49-F238E27FC236}">
              <a16:creationId xmlns:a16="http://schemas.microsoft.com/office/drawing/2014/main" id="{24659252-BA76-415F-B75D-89D9631103C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62" name="Host Control  34">
          <a:extLst>
            <a:ext uri="{FF2B5EF4-FFF2-40B4-BE49-F238E27FC236}">
              <a16:creationId xmlns:a16="http://schemas.microsoft.com/office/drawing/2014/main" id="{176E7BD0-AC66-4C90-9226-E93D1533623B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63" name="Host Control  36">
          <a:extLst>
            <a:ext uri="{FF2B5EF4-FFF2-40B4-BE49-F238E27FC236}">
              <a16:creationId xmlns:a16="http://schemas.microsoft.com/office/drawing/2014/main" id="{F39A833B-721B-4026-BA03-9CEB6332B8D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64" name="Host Control  37">
          <a:extLst>
            <a:ext uri="{FF2B5EF4-FFF2-40B4-BE49-F238E27FC236}">
              <a16:creationId xmlns:a16="http://schemas.microsoft.com/office/drawing/2014/main" id="{BCBE7FA2-AED1-4BB3-AC90-882A9F6266F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65" name="Host Control  38">
          <a:extLst>
            <a:ext uri="{FF2B5EF4-FFF2-40B4-BE49-F238E27FC236}">
              <a16:creationId xmlns:a16="http://schemas.microsoft.com/office/drawing/2014/main" id="{0CD3F538-1126-4F50-97B2-760656464C08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66" name="Host Control  40">
          <a:extLst>
            <a:ext uri="{FF2B5EF4-FFF2-40B4-BE49-F238E27FC236}">
              <a16:creationId xmlns:a16="http://schemas.microsoft.com/office/drawing/2014/main" id="{57F4AD8D-17E8-4638-8EC7-A3935B24E0F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67" name="Host Control  41">
          <a:extLst>
            <a:ext uri="{FF2B5EF4-FFF2-40B4-BE49-F238E27FC236}">
              <a16:creationId xmlns:a16="http://schemas.microsoft.com/office/drawing/2014/main" id="{34F829B7-F632-46A5-9FE5-390557DFCDF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68" name="Host Control  42">
          <a:extLst>
            <a:ext uri="{FF2B5EF4-FFF2-40B4-BE49-F238E27FC236}">
              <a16:creationId xmlns:a16="http://schemas.microsoft.com/office/drawing/2014/main" id="{64005834-DBFA-4F58-A433-FA2B83405779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69" name="Host Control  44">
          <a:extLst>
            <a:ext uri="{FF2B5EF4-FFF2-40B4-BE49-F238E27FC236}">
              <a16:creationId xmlns:a16="http://schemas.microsoft.com/office/drawing/2014/main" id="{2749B2FB-9B46-46E4-9C87-8CA5912876E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70" name="Host Control  45">
          <a:extLst>
            <a:ext uri="{FF2B5EF4-FFF2-40B4-BE49-F238E27FC236}">
              <a16:creationId xmlns:a16="http://schemas.microsoft.com/office/drawing/2014/main" id="{44D38308-EA75-4CF3-92CD-99D10885A92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171" name="Host Control  46">
          <a:extLst>
            <a:ext uri="{FF2B5EF4-FFF2-40B4-BE49-F238E27FC236}">
              <a16:creationId xmlns:a16="http://schemas.microsoft.com/office/drawing/2014/main" id="{DEEAD0B6-DD02-4264-88CC-DD9DDD7EACC5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72" name="Host Control  5">
          <a:extLst>
            <a:ext uri="{FF2B5EF4-FFF2-40B4-BE49-F238E27FC236}">
              <a16:creationId xmlns:a16="http://schemas.microsoft.com/office/drawing/2014/main" id="{32E6BD78-CE2A-41ED-9B1F-E7CCF1D5E5A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73" name="Host Control  6">
          <a:extLst>
            <a:ext uri="{FF2B5EF4-FFF2-40B4-BE49-F238E27FC236}">
              <a16:creationId xmlns:a16="http://schemas.microsoft.com/office/drawing/2014/main" id="{CD977CF6-D269-429A-82B3-7F6DD85096B2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74" name="Host Control  7">
          <a:extLst>
            <a:ext uri="{FF2B5EF4-FFF2-40B4-BE49-F238E27FC236}">
              <a16:creationId xmlns:a16="http://schemas.microsoft.com/office/drawing/2014/main" id="{7311D179-37EF-4485-86FF-CA0EF5498C4F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75" name="Host Control  12">
          <a:extLst>
            <a:ext uri="{FF2B5EF4-FFF2-40B4-BE49-F238E27FC236}">
              <a16:creationId xmlns:a16="http://schemas.microsoft.com/office/drawing/2014/main" id="{E8B27D86-880D-4323-BC90-EA0712E0123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76" name="Host Control  13">
          <a:extLst>
            <a:ext uri="{FF2B5EF4-FFF2-40B4-BE49-F238E27FC236}">
              <a16:creationId xmlns:a16="http://schemas.microsoft.com/office/drawing/2014/main" id="{190573E4-D768-4FE6-BF03-A068CBBB24CA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77" name="Host Control  14">
          <a:extLst>
            <a:ext uri="{FF2B5EF4-FFF2-40B4-BE49-F238E27FC236}">
              <a16:creationId xmlns:a16="http://schemas.microsoft.com/office/drawing/2014/main" id="{EF6BEABC-2D80-49BE-8DC1-4C76750CFD6C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78" name="Host Control  16">
          <a:extLst>
            <a:ext uri="{FF2B5EF4-FFF2-40B4-BE49-F238E27FC236}">
              <a16:creationId xmlns:a16="http://schemas.microsoft.com/office/drawing/2014/main" id="{C4B3E57B-C028-4145-8831-D70AAA94AE9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79" name="Host Control  17">
          <a:extLst>
            <a:ext uri="{FF2B5EF4-FFF2-40B4-BE49-F238E27FC236}">
              <a16:creationId xmlns:a16="http://schemas.microsoft.com/office/drawing/2014/main" id="{76D53410-E763-4BDF-975B-D1152698AC01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80" name="Host Control  18">
          <a:extLst>
            <a:ext uri="{FF2B5EF4-FFF2-40B4-BE49-F238E27FC236}">
              <a16:creationId xmlns:a16="http://schemas.microsoft.com/office/drawing/2014/main" id="{079F6B06-9279-4DAE-B67D-0304876DFAD5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81" name="Host Control  20">
          <a:extLst>
            <a:ext uri="{FF2B5EF4-FFF2-40B4-BE49-F238E27FC236}">
              <a16:creationId xmlns:a16="http://schemas.microsoft.com/office/drawing/2014/main" id="{336B72D7-DBF5-4392-B7E7-A83C90CBEEE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82" name="Host Control  21">
          <a:extLst>
            <a:ext uri="{FF2B5EF4-FFF2-40B4-BE49-F238E27FC236}">
              <a16:creationId xmlns:a16="http://schemas.microsoft.com/office/drawing/2014/main" id="{7DE55991-AF9F-4046-8C38-9DA2F22A5E26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83" name="Host Control  22">
          <a:extLst>
            <a:ext uri="{FF2B5EF4-FFF2-40B4-BE49-F238E27FC236}">
              <a16:creationId xmlns:a16="http://schemas.microsoft.com/office/drawing/2014/main" id="{7E16D3ED-EB04-4B52-AF27-110B23A3FB8F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84" name="Host Control  24">
          <a:extLst>
            <a:ext uri="{FF2B5EF4-FFF2-40B4-BE49-F238E27FC236}">
              <a16:creationId xmlns:a16="http://schemas.microsoft.com/office/drawing/2014/main" id="{870753BD-23A1-4482-B872-97013C6A76C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85" name="Host Control  25">
          <a:extLst>
            <a:ext uri="{FF2B5EF4-FFF2-40B4-BE49-F238E27FC236}">
              <a16:creationId xmlns:a16="http://schemas.microsoft.com/office/drawing/2014/main" id="{B7CDF850-D5F0-4D3D-BB23-40629C5BE549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86" name="Host Control  26">
          <a:extLst>
            <a:ext uri="{FF2B5EF4-FFF2-40B4-BE49-F238E27FC236}">
              <a16:creationId xmlns:a16="http://schemas.microsoft.com/office/drawing/2014/main" id="{06A662BD-0906-4C83-AD14-D65B5F2E908A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87" name="Host Control  28">
          <a:extLst>
            <a:ext uri="{FF2B5EF4-FFF2-40B4-BE49-F238E27FC236}">
              <a16:creationId xmlns:a16="http://schemas.microsoft.com/office/drawing/2014/main" id="{DD78E10F-DC8C-4909-8FC7-E11E9973D72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88" name="Host Control  29">
          <a:extLst>
            <a:ext uri="{FF2B5EF4-FFF2-40B4-BE49-F238E27FC236}">
              <a16:creationId xmlns:a16="http://schemas.microsoft.com/office/drawing/2014/main" id="{D75B1959-587A-434E-9894-3163ADD774A9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89" name="Host Control  30">
          <a:extLst>
            <a:ext uri="{FF2B5EF4-FFF2-40B4-BE49-F238E27FC236}">
              <a16:creationId xmlns:a16="http://schemas.microsoft.com/office/drawing/2014/main" id="{580932A5-BC72-4722-B53B-77CC64BB017E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90" name="Host Control  32">
          <a:extLst>
            <a:ext uri="{FF2B5EF4-FFF2-40B4-BE49-F238E27FC236}">
              <a16:creationId xmlns:a16="http://schemas.microsoft.com/office/drawing/2014/main" id="{03B98CA3-D588-4ED8-82E7-BF8C92D001F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91" name="Host Control  33">
          <a:extLst>
            <a:ext uri="{FF2B5EF4-FFF2-40B4-BE49-F238E27FC236}">
              <a16:creationId xmlns:a16="http://schemas.microsoft.com/office/drawing/2014/main" id="{E89DE86E-BB35-4426-8D11-E19C440AFF97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92" name="Host Control  34">
          <a:extLst>
            <a:ext uri="{FF2B5EF4-FFF2-40B4-BE49-F238E27FC236}">
              <a16:creationId xmlns:a16="http://schemas.microsoft.com/office/drawing/2014/main" id="{81DAC2AF-61D7-4B8E-BD65-E894D8497FB2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93" name="Host Control  36">
          <a:extLst>
            <a:ext uri="{FF2B5EF4-FFF2-40B4-BE49-F238E27FC236}">
              <a16:creationId xmlns:a16="http://schemas.microsoft.com/office/drawing/2014/main" id="{59FE6F5F-BEB3-43A8-A264-4181D051D3B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94" name="Host Control  37">
          <a:extLst>
            <a:ext uri="{FF2B5EF4-FFF2-40B4-BE49-F238E27FC236}">
              <a16:creationId xmlns:a16="http://schemas.microsoft.com/office/drawing/2014/main" id="{8645702C-ED1F-46FD-BB47-5105F8D43070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95" name="Host Control  38">
          <a:extLst>
            <a:ext uri="{FF2B5EF4-FFF2-40B4-BE49-F238E27FC236}">
              <a16:creationId xmlns:a16="http://schemas.microsoft.com/office/drawing/2014/main" id="{D6B5E51B-386E-4A13-BBA1-219D6E7AAEF5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96" name="Host Control  40">
          <a:extLst>
            <a:ext uri="{FF2B5EF4-FFF2-40B4-BE49-F238E27FC236}">
              <a16:creationId xmlns:a16="http://schemas.microsoft.com/office/drawing/2014/main" id="{27EB43D0-A77D-479D-A6E0-A4A76D7E4FA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197" name="Host Control  41">
          <a:extLst>
            <a:ext uri="{FF2B5EF4-FFF2-40B4-BE49-F238E27FC236}">
              <a16:creationId xmlns:a16="http://schemas.microsoft.com/office/drawing/2014/main" id="{86691394-B984-42B9-9D9E-B68430B91819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198" name="Host Control  42">
          <a:extLst>
            <a:ext uri="{FF2B5EF4-FFF2-40B4-BE49-F238E27FC236}">
              <a16:creationId xmlns:a16="http://schemas.microsoft.com/office/drawing/2014/main" id="{60FCB445-0022-4C91-A963-8B2E453BB845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199" name="Host Control  44">
          <a:extLst>
            <a:ext uri="{FF2B5EF4-FFF2-40B4-BE49-F238E27FC236}">
              <a16:creationId xmlns:a16="http://schemas.microsoft.com/office/drawing/2014/main" id="{5A1683BA-5034-4181-97EC-ADCDB2E8295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00" name="Host Control  45">
          <a:extLst>
            <a:ext uri="{FF2B5EF4-FFF2-40B4-BE49-F238E27FC236}">
              <a16:creationId xmlns:a16="http://schemas.microsoft.com/office/drawing/2014/main" id="{BF29A557-2F1A-4CD0-83F8-48F7624F5DB8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201" name="Host Control  46">
          <a:extLst>
            <a:ext uri="{FF2B5EF4-FFF2-40B4-BE49-F238E27FC236}">
              <a16:creationId xmlns:a16="http://schemas.microsoft.com/office/drawing/2014/main" id="{97851559-A954-467A-AB7B-22021282D94F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02" name="Host Control  5">
          <a:extLst>
            <a:ext uri="{FF2B5EF4-FFF2-40B4-BE49-F238E27FC236}">
              <a16:creationId xmlns:a16="http://schemas.microsoft.com/office/drawing/2014/main" id="{5F3869E0-84A0-4AAD-AC43-360EEB025C4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03" name="Host Control  6">
          <a:extLst>
            <a:ext uri="{FF2B5EF4-FFF2-40B4-BE49-F238E27FC236}">
              <a16:creationId xmlns:a16="http://schemas.microsoft.com/office/drawing/2014/main" id="{E2BE6846-6F0F-4287-9C9A-3129AB86FB2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04" name="Host Control  7">
          <a:extLst>
            <a:ext uri="{FF2B5EF4-FFF2-40B4-BE49-F238E27FC236}">
              <a16:creationId xmlns:a16="http://schemas.microsoft.com/office/drawing/2014/main" id="{58AA85B2-976D-4EFC-B962-22E85CC8E4BB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05" name="Host Control  12">
          <a:extLst>
            <a:ext uri="{FF2B5EF4-FFF2-40B4-BE49-F238E27FC236}">
              <a16:creationId xmlns:a16="http://schemas.microsoft.com/office/drawing/2014/main" id="{B58671DB-00A0-4C4B-A655-894F0046B69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06" name="Host Control  13">
          <a:extLst>
            <a:ext uri="{FF2B5EF4-FFF2-40B4-BE49-F238E27FC236}">
              <a16:creationId xmlns:a16="http://schemas.microsoft.com/office/drawing/2014/main" id="{5EE28204-3EAE-46E8-AC43-D4B04C3EF7B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07" name="Host Control  14">
          <a:extLst>
            <a:ext uri="{FF2B5EF4-FFF2-40B4-BE49-F238E27FC236}">
              <a16:creationId xmlns:a16="http://schemas.microsoft.com/office/drawing/2014/main" id="{EDEBA4EF-6204-4508-8D29-E7CB9D9FF2CE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08" name="Host Control  16">
          <a:extLst>
            <a:ext uri="{FF2B5EF4-FFF2-40B4-BE49-F238E27FC236}">
              <a16:creationId xmlns:a16="http://schemas.microsoft.com/office/drawing/2014/main" id="{BBC3CF63-6943-4C67-B78A-2B4504FBF05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09" name="Host Control  17">
          <a:extLst>
            <a:ext uri="{FF2B5EF4-FFF2-40B4-BE49-F238E27FC236}">
              <a16:creationId xmlns:a16="http://schemas.microsoft.com/office/drawing/2014/main" id="{1F21ED57-47B5-4974-B702-42E975895B7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10" name="Host Control  18">
          <a:extLst>
            <a:ext uri="{FF2B5EF4-FFF2-40B4-BE49-F238E27FC236}">
              <a16:creationId xmlns:a16="http://schemas.microsoft.com/office/drawing/2014/main" id="{D03F988D-5FAE-48DD-B1D0-C3A4A1545CBF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11" name="Host Control  20">
          <a:extLst>
            <a:ext uri="{FF2B5EF4-FFF2-40B4-BE49-F238E27FC236}">
              <a16:creationId xmlns:a16="http://schemas.microsoft.com/office/drawing/2014/main" id="{929F7519-A67B-484B-8E15-262FD854F9A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12" name="Host Control  21">
          <a:extLst>
            <a:ext uri="{FF2B5EF4-FFF2-40B4-BE49-F238E27FC236}">
              <a16:creationId xmlns:a16="http://schemas.microsoft.com/office/drawing/2014/main" id="{055C0A99-6615-4BCF-99E0-5D32A238272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13" name="Host Control  22">
          <a:extLst>
            <a:ext uri="{FF2B5EF4-FFF2-40B4-BE49-F238E27FC236}">
              <a16:creationId xmlns:a16="http://schemas.microsoft.com/office/drawing/2014/main" id="{C690888E-88C1-4863-B32B-6619222674D0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14" name="Host Control  24">
          <a:extLst>
            <a:ext uri="{FF2B5EF4-FFF2-40B4-BE49-F238E27FC236}">
              <a16:creationId xmlns:a16="http://schemas.microsoft.com/office/drawing/2014/main" id="{884389BA-F31C-4C8E-BF6B-B31B41229F7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15" name="Host Control  25">
          <a:extLst>
            <a:ext uri="{FF2B5EF4-FFF2-40B4-BE49-F238E27FC236}">
              <a16:creationId xmlns:a16="http://schemas.microsoft.com/office/drawing/2014/main" id="{9621860B-FF52-48CA-8FA6-AEF3F756C6D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16" name="Host Control  26">
          <a:extLst>
            <a:ext uri="{FF2B5EF4-FFF2-40B4-BE49-F238E27FC236}">
              <a16:creationId xmlns:a16="http://schemas.microsoft.com/office/drawing/2014/main" id="{433533F0-5873-47F3-8F13-58DCB3FFDBF5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17" name="Host Control  28">
          <a:extLst>
            <a:ext uri="{FF2B5EF4-FFF2-40B4-BE49-F238E27FC236}">
              <a16:creationId xmlns:a16="http://schemas.microsoft.com/office/drawing/2014/main" id="{2FE91D26-2568-438E-903E-F0B33B28BBC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18" name="Host Control  29">
          <a:extLst>
            <a:ext uri="{FF2B5EF4-FFF2-40B4-BE49-F238E27FC236}">
              <a16:creationId xmlns:a16="http://schemas.microsoft.com/office/drawing/2014/main" id="{7E8A18EB-4F7E-4EE3-9AE9-512DAA05EBE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19" name="Host Control  30">
          <a:extLst>
            <a:ext uri="{FF2B5EF4-FFF2-40B4-BE49-F238E27FC236}">
              <a16:creationId xmlns:a16="http://schemas.microsoft.com/office/drawing/2014/main" id="{E4511DBB-0AAA-4A30-A147-67076B8212F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20" name="Host Control  32">
          <a:extLst>
            <a:ext uri="{FF2B5EF4-FFF2-40B4-BE49-F238E27FC236}">
              <a16:creationId xmlns:a16="http://schemas.microsoft.com/office/drawing/2014/main" id="{B29C750D-0DC6-4FC7-895E-C2F49C3780B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21" name="Host Control  33">
          <a:extLst>
            <a:ext uri="{FF2B5EF4-FFF2-40B4-BE49-F238E27FC236}">
              <a16:creationId xmlns:a16="http://schemas.microsoft.com/office/drawing/2014/main" id="{D021DBA7-AD5D-40C6-A2AE-9000C352F37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22" name="Host Control  34">
          <a:extLst>
            <a:ext uri="{FF2B5EF4-FFF2-40B4-BE49-F238E27FC236}">
              <a16:creationId xmlns:a16="http://schemas.microsoft.com/office/drawing/2014/main" id="{D64660CD-EF3D-4836-A490-D6E55A238734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23" name="Host Control  36">
          <a:extLst>
            <a:ext uri="{FF2B5EF4-FFF2-40B4-BE49-F238E27FC236}">
              <a16:creationId xmlns:a16="http://schemas.microsoft.com/office/drawing/2014/main" id="{782DD823-DD65-4DB0-8DAF-B41C5B3823B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24" name="Host Control  37">
          <a:extLst>
            <a:ext uri="{FF2B5EF4-FFF2-40B4-BE49-F238E27FC236}">
              <a16:creationId xmlns:a16="http://schemas.microsoft.com/office/drawing/2014/main" id="{A9235AFC-49A1-47A6-AE25-B1E2026D540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25" name="Host Control  38">
          <a:extLst>
            <a:ext uri="{FF2B5EF4-FFF2-40B4-BE49-F238E27FC236}">
              <a16:creationId xmlns:a16="http://schemas.microsoft.com/office/drawing/2014/main" id="{A99F1A3F-E8EC-4E97-A3E0-74D0D125ABD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26" name="Host Control  40">
          <a:extLst>
            <a:ext uri="{FF2B5EF4-FFF2-40B4-BE49-F238E27FC236}">
              <a16:creationId xmlns:a16="http://schemas.microsoft.com/office/drawing/2014/main" id="{1D966210-F2EF-4C33-9223-48EB8BBD76D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27" name="Host Control  41">
          <a:extLst>
            <a:ext uri="{FF2B5EF4-FFF2-40B4-BE49-F238E27FC236}">
              <a16:creationId xmlns:a16="http://schemas.microsoft.com/office/drawing/2014/main" id="{2E2A1364-89D9-4BFD-9D97-02E836014FE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28" name="Host Control  42">
          <a:extLst>
            <a:ext uri="{FF2B5EF4-FFF2-40B4-BE49-F238E27FC236}">
              <a16:creationId xmlns:a16="http://schemas.microsoft.com/office/drawing/2014/main" id="{26924A82-C5A8-4F3E-8B3E-C881A0881A7D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29" name="Host Control  44">
          <a:extLst>
            <a:ext uri="{FF2B5EF4-FFF2-40B4-BE49-F238E27FC236}">
              <a16:creationId xmlns:a16="http://schemas.microsoft.com/office/drawing/2014/main" id="{D2AC68DF-57CA-45C0-A1BB-ECEE227F4D5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30" name="Host Control  45">
          <a:extLst>
            <a:ext uri="{FF2B5EF4-FFF2-40B4-BE49-F238E27FC236}">
              <a16:creationId xmlns:a16="http://schemas.microsoft.com/office/drawing/2014/main" id="{6C69C44B-02E0-419D-9D33-B599B0C3EF2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31" name="Host Control  46">
          <a:extLst>
            <a:ext uri="{FF2B5EF4-FFF2-40B4-BE49-F238E27FC236}">
              <a16:creationId xmlns:a16="http://schemas.microsoft.com/office/drawing/2014/main" id="{3140E963-3672-4D78-AE98-96066A8DA83D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32" name="Host Control  5">
          <a:extLst>
            <a:ext uri="{FF2B5EF4-FFF2-40B4-BE49-F238E27FC236}">
              <a16:creationId xmlns:a16="http://schemas.microsoft.com/office/drawing/2014/main" id="{C87BD126-E1B4-4E14-9A5A-98DB516AA5A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33" name="Host Control  6">
          <a:extLst>
            <a:ext uri="{FF2B5EF4-FFF2-40B4-BE49-F238E27FC236}">
              <a16:creationId xmlns:a16="http://schemas.microsoft.com/office/drawing/2014/main" id="{EBBBB414-16D7-47B0-96F4-9AEE3E195984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234" name="Host Control  7">
          <a:extLst>
            <a:ext uri="{FF2B5EF4-FFF2-40B4-BE49-F238E27FC236}">
              <a16:creationId xmlns:a16="http://schemas.microsoft.com/office/drawing/2014/main" id="{D6973780-6319-402E-BA8B-344BAD266C7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35" name="Host Control  12">
          <a:extLst>
            <a:ext uri="{FF2B5EF4-FFF2-40B4-BE49-F238E27FC236}">
              <a16:creationId xmlns:a16="http://schemas.microsoft.com/office/drawing/2014/main" id="{3E4A1ED2-B3A2-41FD-AD06-7C952BB55CB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36" name="Host Control  13">
          <a:extLst>
            <a:ext uri="{FF2B5EF4-FFF2-40B4-BE49-F238E27FC236}">
              <a16:creationId xmlns:a16="http://schemas.microsoft.com/office/drawing/2014/main" id="{A5F68BC8-2FF1-4F4C-B2AB-F43568EF5560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237" name="Host Control  14">
          <a:extLst>
            <a:ext uri="{FF2B5EF4-FFF2-40B4-BE49-F238E27FC236}">
              <a16:creationId xmlns:a16="http://schemas.microsoft.com/office/drawing/2014/main" id="{AFD20783-3F00-43F8-B003-D5A5C8D435E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38" name="Host Control  16">
          <a:extLst>
            <a:ext uri="{FF2B5EF4-FFF2-40B4-BE49-F238E27FC236}">
              <a16:creationId xmlns:a16="http://schemas.microsoft.com/office/drawing/2014/main" id="{6B67EDAB-5DAA-448B-AE96-603A6C484D8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39" name="Host Control  17">
          <a:extLst>
            <a:ext uri="{FF2B5EF4-FFF2-40B4-BE49-F238E27FC236}">
              <a16:creationId xmlns:a16="http://schemas.microsoft.com/office/drawing/2014/main" id="{35125C33-6CC8-4588-A84E-459306862A82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240" name="Host Control  18">
          <a:extLst>
            <a:ext uri="{FF2B5EF4-FFF2-40B4-BE49-F238E27FC236}">
              <a16:creationId xmlns:a16="http://schemas.microsoft.com/office/drawing/2014/main" id="{0E60AEE6-F8B8-40AC-9C91-5859C5FBAE7F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41" name="Host Control  20">
          <a:extLst>
            <a:ext uri="{FF2B5EF4-FFF2-40B4-BE49-F238E27FC236}">
              <a16:creationId xmlns:a16="http://schemas.microsoft.com/office/drawing/2014/main" id="{2A84F16F-A4A2-4862-A3A1-36857389F4E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42" name="Host Control  21">
          <a:extLst>
            <a:ext uri="{FF2B5EF4-FFF2-40B4-BE49-F238E27FC236}">
              <a16:creationId xmlns:a16="http://schemas.microsoft.com/office/drawing/2014/main" id="{B10E1ED3-5822-44B7-9928-4C1227237ACF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243" name="Host Control  22">
          <a:extLst>
            <a:ext uri="{FF2B5EF4-FFF2-40B4-BE49-F238E27FC236}">
              <a16:creationId xmlns:a16="http://schemas.microsoft.com/office/drawing/2014/main" id="{B09206D0-4742-4DC5-95E9-FFA3CE5828D3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44" name="Host Control  24">
          <a:extLst>
            <a:ext uri="{FF2B5EF4-FFF2-40B4-BE49-F238E27FC236}">
              <a16:creationId xmlns:a16="http://schemas.microsoft.com/office/drawing/2014/main" id="{618CCA53-B46F-4F1E-89F9-FB40B2395AC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45" name="Host Control  25">
          <a:extLst>
            <a:ext uri="{FF2B5EF4-FFF2-40B4-BE49-F238E27FC236}">
              <a16:creationId xmlns:a16="http://schemas.microsoft.com/office/drawing/2014/main" id="{27BBABBC-2CD1-4333-A03F-414F5FDC882A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246" name="Host Control  26">
          <a:extLst>
            <a:ext uri="{FF2B5EF4-FFF2-40B4-BE49-F238E27FC236}">
              <a16:creationId xmlns:a16="http://schemas.microsoft.com/office/drawing/2014/main" id="{15AED3C5-7178-4F9D-9E35-D62FF04BC803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47" name="Host Control  28">
          <a:extLst>
            <a:ext uri="{FF2B5EF4-FFF2-40B4-BE49-F238E27FC236}">
              <a16:creationId xmlns:a16="http://schemas.microsoft.com/office/drawing/2014/main" id="{CC8E3962-9C4F-4170-A380-17101A4C979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48" name="Host Control  29">
          <a:extLst>
            <a:ext uri="{FF2B5EF4-FFF2-40B4-BE49-F238E27FC236}">
              <a16:creationId xmlns:a16="http://schemas.microsoft.com/office/drawing/2014/main" id="{FA0A89AB-856E-425E-9F32-C8DAF254BEB4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249" name="Host Control  30">
          <a:extLst>
            <a:ext uri="{FF2B5EF4-FFF2-40B4-BE49-F238E27FC236}">
              <a16:creationId xmlns:a16="http://schemas.microsoft.com/office/drawing/2014/main" id="{703165E6-9DF0-4A26-8986-21A3FB9C254C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50" name="Host Control  32">
          <a:extLst>
            <a:ext uri="{FF2B5EF4-FFF2-40B4-BE49-F238E27FC236}">
              <a16:creationId xmlns:a16="http://schemas.microsoft.com/office/drawing/2014/main" id="{7E6BE832-EDBA-432F-A9F9-F5D12541A23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51" name="Host Control  33">
          <a:extLst>
            <a:ext uri="{FF2B5EF4-FFF2-40B4-BE49-F238E27FC236}">
              <a16:creationId xmlns:a16="http://schemas.microsoft.com/office/drawing/2014/main" id="{2FEFAC7D-1DA3-4E0E-9908-8DB55CED8317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252" name="Host Control  34">
          <a:extLst>
            <a:ext uri="{FF2B5EF4-FFF2-40B4-BE49-F238E27FC236}">
              <a16:creationId xmlns:a16="http://schemas.microsoft.com/office/drawing/2014/main" id="{341E5ECA-EAAB-4C36-94B5-B59E48B4DB8C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53" name="Host Control  36">
          <a:extLst>
            <a:ext uri="{FF2B5EF4-FFF2-40B4-BE49-F238E27FC236}">
              <a16:creationId xmlns:a16="http://schemas.microsoft.com/office/drawing/2014/main" id="{012AB5D2-DA22-4FCF-BD54-59A5C4A8CBC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54" name="Host Control  37">
          <a:extLst>
            <a:ext uri="{FF2B5EF4-FFF2-40B4-BE49-F238E27FC236}">
              <a16:creationId xmlns:a16="http://schemas.microsoft.com/office/drawing/2014/main" id="{6BADE0C8-1825-4D40-86AB-DD47F0546F54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255" name="Host Control  38">
          <a:extLst>
            <a:ext uri="{FF2B5EF4-FFF2-40B4-BE49-F238E27FC236}">
              <a16:creationId xmlns:a16="http://schemas.microsoft.com/office/drawing/2014/main" id="{320E9C96-8560-48FB-B1F6-789EB2D209BC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56" name="Host Control  40">
          <a:extLst>
            <a:ext uri="{FF2B5EF4-FFF2-40B4-BE49-F238E27FC236}">
              <a16:creationId xmlns:a16="http://schemas.microsoft.com/office/drawing/2014/main" id="{B9A80281-BF44-4324-9909-80B1ED7D0E7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57" name="Host Control  41">
          <a:extLst>
            <a:ext uri="{FF2B5EF4-FFF2-40B4-BE49-F238E27FC236}">
              <a16:creationId xmlns:a16="http://schemas.microsoft.com/office/drawing/2014/main" id="{09F14FD2-237D-45B7-86B6-DD9CA25BEF0F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258" name="Host Control  42">
          <a:extLst>
            <a:ext uri="{FF2B5EF4-FFF2-40B4-BE49-F238E27FC236}">
              <a16:creationId xmlns:a16="http://schemas.microsoft.com/office/drawing/2014/main" id="{E5B62455-7456-4EB3-977B-299BECD123A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59" name="Host Control  44">
          <a:extLst>
            <a:ext uri="{FF2B5EF4-FFF2-40B4-BE49-F238E27FC236}">
              <a16:creationId xmlns:a16="http://schemas.microsoft.com/office/drawing/2014/main" id="{E7FED227-33C2-4489-B50A-D0DBC0A3476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60" name="Host Control  45">
          <a:extLst>
            <a:ext uri="{FF2B5EF4-FFF2-40B4-BE49-F238E27FC236}">
              <a16:creationId xmlns:a16="http://schemas.microsoft.com/office/drawing/2014/main" id="{3DE66D67-98A6-477B-A79E-AD69F5B74294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261" name="Host Control  46">
          <a:extLst>
            <a:ext uri="{FF2B5EF4-FFF2-40B4-BE49-F238E27FC236}">
              <a16:creationId xmlns:a16="http://schemas.microsoft.com/office/drawing/2014/main" id="{FA74F91D-069B-491F-B6ED-20C10EB56AE5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62" name="Host Control  5">
          <a:extLst>
            <a:ext uri="{FF2B5EF4-FFF2-40B4-BE49-F238E27FC236}">
              <a16:creationId xmlns:a16="http://schemas.microsoft.com/office/drawing/2014/main" id="{B8D8A951-4699-4079-A6B4-3B92199A3E0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63" name="Host Control  6">
          <a:extLst>
            <a:ext uri="{FF2B5EF4-FFF2-40B4-BE49-F238E27FC236}">
              <a16:creationId xmlns:a16="http://schemas.microsoft.com/office/drawing/2014/main" id="{37B55D65-FA86-44B9-8371-0C7542A8859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64" name="Host Control  7">
          <a:extLst>
            <a:ext uri="{FF2B5EF4-FFF2-40B4-BE49-F238E27FC236}">
              <a16:creationId xmlns:a16="http://schemas.microsoft.com/office/drawing/2014/main" id="{FAFA81FF-9629-49C5-8AC5-0E6345A33B4D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65" name="Host Control  12">
          <a:extLst>
            <a:ext uri="{FF2B5EF4-FFF2-40B4-BE49-F238E27FC236}">
              <a16:creationId xmlns:a16="http://schemas.microsoft.com/office/drawing/2014/main" id="{C7F4A4EB-D6BE-47EB-8727-A9BBE2BA0F1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66" name="Host Control  13">
          <a:extLst>
            <a:ext uri="{FF2B5EF4-FFF2-40B4-BE49-F238E27FC236}">
              <a16:creationId xmlns:a16="http://schemas.microsoft.com/office/drawing/2014/main" id="{3BBCA362-2B3C-4C5B-A7AA-352643BD169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67" name="Host Control  14">
          <a:extLst>
            <a:ext uri="{FF2B5EF4-FFF2-40B4-BE49-F238E27FC236}">
              <a16:creationId xmlns:a16="http://schemas.microsoft.com/office/drawing/2014/main" id="{4A13BC98-017B-4192-ACF2-2454C2757EE5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68" name="Host Control  16">
          <a:extLst>
            <a:ext uri="{FF2B5EF4-FFF2-40B4-BE49-F238E27FC236}">
              <a16:creationId xmlns:a16="http://schemas.microsoft.com/office/drawing/2014/main" id="{E6196E43-24B9-4C3E-B9FF-6B712335E9D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69" name="Host Control  17">
          <a:extLst>
            <a:ext uri="{FF2B5EF4-FFF2-40B4-BE49-F238E27FC236}">
              <a16:creationId xmlns:a16="http://schemas.microsoft.com/office/drawing/2014/main" id="{A481D0B1-CF4D-474E-A161-8A16189B691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70" name="Host Control  18">
          <a:extLst>
            <a:ext uri="{FF2B5EF4-FFF2-40B4-BE49-F238E27FC236}">
              <a16:creationId xmlns:a16="http://schemas.microsoft.com/office/drawing/2014/main" id="{A72C2CB9-9D26-48DD-A834-436D7DA3EEA4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71" name="Host Control  20">
          <a:extLst>
            <a:ext uri="{FF2B5EF4-FFF2-40B4-BE49-F238E27FC236}">
              <a16:creationId xmlns:a16="http://schemas.microsoft.com/office/drawing/2014/main" id="{CF05678C-BA21-440A-A259-E91036CA990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72" name="Host Control  21">
          <a:extLst>
            <a:ext uri="{FF2B5EF4-FFF2-40B4-BE49-F238E27FC236}">
              <a16:creationId xmlns:a16="http://schemas.microsoft.com/office/drawing/2014/main" id="{9D38E7A7-2C3F-4712-B487-345862C15B5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73" name="Host Control  22">
          <a:extLst>
            <a:ext uri="{FF2B5EF4-FFF2-40B4-BE49-F238E27FC236}">
              <a16:creationId xmlns:a16="http://schemas.microsoft.com/office/drawing/2014/main" id="{7A5361C8-EC56-4D60-BFD7-7BE5E482844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74" name="Host Control  24">
          <a:extLst>
            <a:ext uri="{FF2B5EF4-FFF2-40B4-BE49-F238E27FC236}">
              <a16:creationId xmlns:a16="http://schemas.microsoft.com/office/drawing/2014/main" id="{A2FDBDE9-F3EB-4A96-9B58-3C43687F5FD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75" name="Host Control  25">
          <a:extLst>
            <a:ext uri="{FF2B5EF4-FFF2-40B4-BE49-F238E27FC236}">
              <a16:creationId xmlns:a16="http://schemas.microsoft.com/office/drawing/2014/main" id="{9D60195C-2F11-4C96-8BF2-7EC38A2E672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76" name="Host Control  26">
          <a:extLst>
            <a:ext uri="{FF2B5EF4-FFF2-40B4-BE49-F238E27FC236}">
              <a16:creationId xmlns:a16="http://schemas.microsoft.com/office/drawing/2014/main" id="{A9B4F4C2-09B7-4816-A56F-E87F27B9C6BE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77" name="Host Control  28">
          <a:extLst>
            <a:ext uri="{FF2B5EF4-FFF2-40B4-BE49-F238E27FC236}">
              <a16:creationId xmlns:a16="http://schemas.microsoft.com/office/drawing/2014/main" id="{84C94DC3-C48D-4962-A35F-B1B01E8A066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78" name="Host Control  29">
          <a:extLst>
            <a:ext uri="{FF2B5EF4-FFF2-40B4-BE49-F238E27FC236}">
              <a16:creationId xmlns:a16="http://schemas.microsoft.com/office/drawing/2014/main" id="{2B8A2A5E-A660-424C-A3AE-2AAF4FFB34B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79" name="Host Control  30">
          <a:extLst>
            <a:ext uri="{FF2B5EF4-FFF2-40B4-BE49-F238E27FC236}">
              <a16:creationId xmlns:a16="http://schemas.microsoft.com/office/drawing/2014/main" id="{8173D5F4-25A5-4D2A-8D69-059F0F7EA6E3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80" name="Host Control  32">
          <a:extLst>
            <a:ext uri="{FF2B5EF4-FFF2-40B4-BE49-F238E27FC236}">
              <a16:creationId xmlns:a16="http://schemas.microsoft.com/office/drawing/2014/main" id="{735F5B4D-2942-4CB7-B63F-48DEFCCC36E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81" name="Host Control  33">
          <a:extLst>
            <a:ext uri="{FF2B5EF4-FFF2-40B4-BE49-F238E27FC236}">
              <a16:creationId xmlns:a16="http://schemas.microsoft.com/office/drawing/2014/main" id="{744A4B56-6C5C-4A06-98FE-78829236814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82" name="Host Control  34">
          <a:extLst>
            <a:ext uri="{FF2B5EF4-FFF2-40B4-BE49-F238E27FC236}">
              <a16:creationId xmlns:a16="http://schemas.microsoft.com/office/drawing/2014/main" id="{3559A261-28C7-480A-98C2-C24D5A1B338E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83" name="Host Control  36">
          <a:extLst>
            <a:ext uri="{FF2B5EF4-FFF2-40B4-BE49-F238E27FC236}">
              <a16:creationId xmlns:a16="http://schemas.microsoft.com/office/drawing/2014/main" id="{98BF532C-84CC-4573-8E97-750144B3452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84" name="Host Control  37">
          <a:extLst>
            <a:ext uri="{FF2B5EF4-FFF2-40B4-BE49-F238E27FC236}">
              <a16:creationId xmlns:a16="http://schemas.microsoft.com/office/drawing/2014/main" id="{E3A5E2A0-5E3B-4321-9F86-2D425549D2B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85" name="Host Control  38">
          <a:extLst>
            <a:ext uri="{FF2B5EF4-FFF2-40B4-BE49-F238E27FC236}">
              <a16:creationId xmlns:a16="http://schemas.microsoft.com/office/drawing/2014/main" id="{7E925F8E-8DBA-47B9-9A4B-D1435DA6566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86" name="Host Control  40">
          <a:extLst>
            <a:ext uri="{FF2B5EF4-FFF2-40B4-BE49-F238E27FC236}">
              <a16:creationId xmlns:a16="http://schemas.microsoft.com/office/drawing/2014/main" id="{C3A59991-D4C5-46D3-BF94-D5AFC020932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87" name="Host Control  41">
          <a:extLst>
            <a:ext uri="{FF2B5EF4-FFF2-40B4-BE49-F238E27FC236}">
              <a16:creationId xmlns:a16="http://schemas.microsoft.com/office/drawing/2014/main" id="{A311421B-FC79-4464-8607-EAEF6E4F035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88" name="Host Control  42">
          <a:extLst>
            <a:ext uri="{FF2B5EF4-FFF2-40B4-BE49-F238E27FC236}">
              <a16:creationId xmlns:a16="http://schemas.microsoft.com/office/drawing/2014/main" id="{577C093E-F239-4807-8444-20B9D8C9C6AB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89" name="Host Control  44">
          <a:extLst>
            <a:ext uri="{FF2B5EF4-FFF2-40B4-BE49-F238E27FC236}">
              <a16:creationId xmlns:a16="http://schemas.microsoft.com/office/drawing/2014/main" id="{A90DA89C-7FB5-42CE-9A25-BE30525F7A7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90" name="Host Control  45">
          <a:extLst>
            <a:ext uri="{FF2B5EF4-FFF2-40B4-BE49-F238E27FC236}">
              <a16:creationId xmlns:a16="http://schemas.microsoft.com/office/drawing/2014/main" id="{BDD396B1-7F38-45C0-9933-B0FD710F8F8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291" name="Host Control  46">
          <a:extLst>
            <a:ext uri="{FF2B5EF4-FFF2-40B4-BE49-F238E27FC236}">
              <a16:creationId xmlns:a16="http://schemas.microsoft.com/office/drawing/2014/main" id="{0B89B4ED-11AA-4183-9378-17A31489F120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92" name="Host Control  5">
          <a:extLst>
            <a:ext uri="{FF2B5EF4-FFF2-40B4-BE49-F238E27FC236}">
              <a16:creationId xmlns:a16="http://schemas.microsoft.com/office/drawing/2014/main" id="{4E7154B9-6188-46A6-B7DD-5DA54455B92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93" name="Host Control  6">
          <a:extLst>
            <a:ext uri="{FF2B5EF4-FFF2-40B4-BE49-F238E27FC236}">
              <a16:creationId xmlns:a16="http://schemas.microsoft.com/office/drawing/2014/main" id="{9A724BB9-794A-4C7B-89A7-DB0C03D3EA41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294" name="Host Control  7">
          <a:extLst>
            <a:ext uri="{FF2B5EF4-FFF2-40B4-BE49-F238E27FC236}">
              <a16:creationId xmlns:a16="http://schemas.microsoft.com/office/drawing/2014/main" id="{0DBCBD9E-947B-4B80-9714-C48C848CE54B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95" name="Host Control  12">
          <a:extLst>
            <a:ext uri="{FF2B5EF4-FFF2-40B4-BE49-F238E27FC236}">
              <a16:creationId xmlns:a16="http://schemas.microsoft.com/office/drawing/2014/main" id="{4B814542-6599-404B-AF5B-AA44AF5DB22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96" name="Host Control  13">
          <a:extLst>
            <a:ext uri="{FF2B5EF4-FFF2-40B4-BE49-F238E27FC236}">
              <a16:creationId xmlns:a16="http://schemas.microsoft.com/office/drawing/2014/main" id="{934DBA2F-25DB-4AA5-A7F5-078A22642413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297" name="Host Control  14">
          <a:extLst>
            <a:ext uri="{FF2B5EF4-FFF2-40B4-BE49-F238E27FC236}">
              <a16:creationId xmlns:a16="http://schemas.microsoft.com/office/drawing/2014/main" id="{39660F31-E72F-4C4A-BE70-F10C495918B3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298" name="Host Control  16">
          <a:extLst>
            <a:ext uri="{FF2B5EF4-FFF2-40B4-BE49-F238E27FC236}">
              <a16:creationId xmlns:a16="http://schemas.microsoft.com/office/drawing/2014/main" id="{EDAD3EF3-FFDD-49BF-998D-96A218F5CE9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299" name="Host Control  17">
          <a:extLst>
            <a:ext uri="{FF2B5EF4-FFF2-40B4-BE49-F238E27FC236}">
              <a16:creationId xmlns:a16="http://schemas.microsoft.com/office/drawing/2014/main" id="{707D203A-357F-4E03-AB60-E13574C73F84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00" name="Host Control  18">
          <a:extLst>
            <a:ext uri="{FF2B5EF4-FFF2-40B4-BE49-F238E27FC236}">
              <a16:creationId xmlns:a16="http://schemas.microsoft.com/office/drawing/2014/main" id="{29E378C0-9550-4DDF-8AE8-A90099A42550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01" name="Host Control  20">
          <a:extLst>
            <a:ext uri="{FF2B5EF4-FFF2-40B4-BE49-F238E27FC236}">
              <a16:creationId xmlns:a16="http://schemas.microsoft.com/office/drawing/2014/main" id="{57A5E617-B93E-44A0-AD46-1962AF5CB19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02" name="Host Control  21">
          <a:extLst>
            <a:ext uri="{FF2B5EF4-FFF2-40B4-BE49-F238E27FC236}">
              <a16:creationId xmlns:a16="http://schemas.microsoft.com/office/drawing/2014/main" id="{B82DA5CC-8C83-4502-85D4-54715C6E327C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03" name="Host Control  22">
          <a:extLst>
            <a:ext uri="{FF2B5EF4-FFF2-40B4-BE49-F238E27FC236}">
              <a16:creationId xmlns:a16="http://schemas.microsoft.com/office/drawing/2014/main" id="{A69EAA03-DFAC-40E3-B76C-3D014284272B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04" name="Host Control  24">
          <a:extLst>
            <a:ext uri="{FF2B5EF4-FFF2-40B4-BE49-F238E27FC236}">
              <a16:creationId xmlns:a16="http://schemas.microsoft.com/office/drawing/2014/main" id="{A30F2661-455B-4836-833F-10C79A73729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05" name="Host Control  25">
          <a:extLst>
            <a:ext uri="{FF2B5EF4-FFF2-40B4-BE49-F238E27FC236}">
              <a16:creationId xmlns:a16="http://schemas.microsoft.com/office/drawing/2014/main" id="{F7F12B34-5A30-409C-9B4A-01000C5C3D35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06" name="Host Control  26">
          <a:extLst>
            <a:ext uri="{FF2B5EF4-FFF2-40B4-BE49-F238E27FC236}">
              <a16:creationId xmlns:a16="http://schemas.microsoft.com/office/drawing/2014/main" id="{7345C8D5-8577-4FF6-ACD3-387A07E5281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07" name="Host Control  28">
          <a:extLst>
            <a:ext uri="{FF2B5EF4-FFF2-40B4-BE49-F238E27FC236}">
              <a16:creationId xmlns:a16="http://schemas.microsoft.com/office/drawing/2014/main" id="{01E35500-2695-44E6-A21A-C7940BC78C7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08" name="Host Control  29">
          <a:extLst>
            <a:ext uri="{FF2B5EF4-FFF2-40B4-BE49-F238E27FC236}">
              <a16:creationId xmlns:a16="http://schemas.microsoft.com/office/drawing/2014/main" id="{58BDE313-F10E-4022-B51F-1B19E6F3A68B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09" name="Host Control  30">
          <a:extLst>
            <a:ext uri="{FF2B5EF4-FFF2-40B4-BE49-F238E27FC236}">
              <a16:creationId xmlns:a16="http://schemas.microsoft.com/office/drawing/2014/main" id="{0394BF8B-D977-4B02-8642-15097EB0F4B1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10" name="Host Control  32">
          <a:extLst>
            <a:ext uri="{FF2B5EF4-FFF2-40B4-BE49-F238E27FC236}">
              <a16:creationId xmlns:a16="http://schemas.microsoft.com/office/drawing/2014/main" id="{780F9A81-F4CE-47BF-8CFA-5A7810A02AA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11" name="Host Control  33">
          <a:extLst>
            <a:ext uri="{FF2B5EF4-FFF2-40B4-BE49-F238E27FC236}">
              <a16:creationId xmlns:a16="http://schemas.microsoft.com/office/drawing/2014/main" id="{44838D75-5236-420C-8E15-36B12BBB5E1C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12" name="Host Control  34">
          <a:extLst>
            <a:ext uri="{FF2B5EF4-FFF2-40B4-BE49-F238E27FC236}">
              <a16:creationId xmlns:a16="http://schemas.microsoft.com/office/drawing/2014/main" id="{21A4A918-2807-455E-BFE1-B8510FF27E57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13" name="Host Control  36">
          <a:extLst>
            <a:ext uri="{FF2B5EF4-FFF2-40B4-BE49-F238E27FC236}">
              <a16:creationId xmlns:a16="http://schemas.microsoft.com/office/drawing/2014/main" id="{34485510-0504-4C42-80E1-7760230707C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14" name="Host Control  37">
          <a:extLst>
            <a:ext uri="{FF2B5EF4-FFF2-40B4-BE49-F238E27FC236}">
              <a16:creationId xmlns:a16="http://schemas.microsoft.com/office/drawing/2014/main" id="{4114EE2C-D3C6-404C-8EC9-60FE8B58B1D6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15" name="Host Control  38">
          <a:extLst>
            <a:ext uri="{FF2B5EF4-FFF2-40B4-BE49-F238E27FC236}">
              <a16:creationId xmlns:a16="http://schemas.microsoft.com/office/drawing/2014/main" id="{07A55D96-1312-47B7-8831-81A8DC9B3461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16" name="Host Control  40">
          <a:extLst>
            <a:ext uri="{FF2B5EF4-FFF2-40B4-BE49-F238E27FC236}">
              <a16:creationId xmlns:a16="http://schemas.microsoft.com/office/drawing/2014/main" id="{EA5AD4FE-5CCA-4D3D-A4A2-C4B33F41CEE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17" name="Host Control  41">
          <a:extLst>
            <a:ext uri="{FF2B5EF4-FFF2-40B4-BE49-F238E27FC236}">
              <a16:creationId xmlns:a16="http://schemas.microsoft.com/office/drawing/2014/main" id="{8DE35D1B-8CA4-4E1A-920B-6330A7422AC1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18" name="Host Control  42">
          <a:extLst>
            <a:ext uri="{FF2B5EF4-FFF2-40B4-BE49-F238E27FC236}">
              <a16:creationId xmlns:a16="http://schemas.microsoft.com/office/drawing/2014/main" id="{618794AD-2F01-494B-83D8-125A145E568B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19" name="Host Control  44">
          <a:extLst>
            <a:ext uri="{FF2B5EF4-FFF2-40B4-BE49-F238E27FC236}">
              <a16:creationId xmlns:a16="http://schemas.microsoft.com/office/drawing/2014/main" id="{94B4092E-AF75-41E9-8088-BFB8C81EF7E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20" name="Host Control  45">
          <a:extLst>
            <a:ext uri="{FF2B5EF4-FFF2-40B4-BE49-F238E27FC236}">
              <a16:creationId xmlns:a16="http://schemas.microsoft.com/office/drawing/2014/main" id="{2AD01557-A18C-438D-8C94-12A6C7BA52AB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21" name="Host Control  46">
          <a:extLst>
            <a:ext uri="{FF2B5EF4-FFF2-40B4-BE49-F238E27FC236}">
              <a16:creationId xmlns:a16="http://schemas.microsoft.com/office/drawing/2014/main" id="{7C7D3BE1-DFD3-4BFA-B3D4-CB07D7747357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22" name="Host Control  5">
          <a:extLst>
            <a:ext uri="{FF2B5EF4-FFF2-40B4-BE49-F238E27FC236}">
              <a16:creationId xmlns:a16="http://schemas.microsoft.com/office/drawing/2014/main" id="{DA98F345-2F86-408F-88AD-311B5A4FA40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23" name="Host Control  6">
          <a:extLst>
            <a:ext uri="{FF2B5EF4-FFF2-40B4-BE49-F238E27FC236}">
              <a16:creationId xmlns:a16="http://schemas.microsoft.com/office/drawing/2014/main" id="{CF602B69-622B-4306-B3DC-3B179E5EE95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24" name="Host Control  7">
          <a:extLst>
            <a:ext uri="{FF2B5EF4-FFF2-40B4-BE49-F238E27FC236}">
              <a16:creationId xmlns:a16="http://schemas.microsoft.com/office/drawing/2014/main" id="{9BC8D0EB-A872-47DD-B9C9-14AB1EB8ACEE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25" name="Host Control  12">
          <a:extLst>
            <a:ext uri="{FF2B5EF4-FFF2-40B4-BE49-F238E27FC236}">
              <a16:creationId xmlns:a16="http://schemas.microsoft.com/office/drawing/2014/main" id="{6B6F1707-0ADF-44E8-A84A-E35239E3D7F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26" name="Host Control  13">
          <a:extLst>
            <a:ext uri="{FF2B5EF4-FFF2-40B4-BE49-F238E27FC236}">
              <a16:creationId xmlns:a16="http://schemas.microsoft.com/office/drawing/2014/main" id="{C84FD4A0-4153-46F9-83A5-277CBEB58B9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27" name="Host Control  14">
          <a:extLst>
            <a:ext uri="{FF2B5EF4-FFF2-40B4-BE49-F238E27FC236}">
              <a16:creationId xmlns:a16="http://schemas.microsoft.com/office/drawing/2014/main" id="{F1F44899-8095-4328-B640-46D47D03525D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28" name="Host Control  16">
          <a:extLst>
            <a:ext uri="{FF2B5EF4-FFF2-40B4-BE49-F238E27FC236}">
              <a16:creationId xmlns:a16="http://schemas.microsoft.com/office/drawing/2014/main" id="{350A46D5-F28C-4108-A537-7B6D55CF8D4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29" name="Host Control  17">
          <a:extLst>
            <a:ext uri="{FF2B5EF4-FFF2-40B4-BE49-F238E27FC236}">
              <a16:creationId xmlns:a16="http://schemas.microsoft.com/office/drawing/2014/main" id="{EE46196B-871D-4956-BAE8-756B4D7E3EE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30" name="Host Control  18">
          <a:extLst>
            <a:ext uri="{FF2B5EF4-FFF2-40B4-BE49-F238E27FC236}">
              <a16:creationId xmlns:a16="http://schemas.microsoft.com/office/drawing/2014/main" id="{D6A00E3C-2C1B-4D71-90BA-8A1B84D77E2D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31" name="Host Control  20">
          <a:extLst>
            <a:ext uri="{FF2B5EF4-FFF2-40B4-BE49-F238E27FC236}">
              <a16:creationId xmlns:a16="http://schemas.microsoft.com/office/drawing/2014/main" id="{73688C4C-60C5-44C1-A234-1707088C293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32" name="Host Control  21">
          <a:extLst>
            <a:ext uri="{FF2B5EF4-FFF2-40B4-BE49-F238E27FC236}">
              <a16:creationId xmlns:a16="http://schemas.microsoft.com/office/drawing/2014/main" id="{ACB5CEC0-805E-41B3-9FAD-4210F24A98D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33" name="Host Control  22">
          <a:extLst>
            <a:ext uri="{FF2B5EF4-FFF2-40B4-BE49-F238E27FC236}">
              <a16:creationId xmlns:a16="http://schemas.microsoft.com/office/drawing/2014/main" id="{C711F09D-6F26-4F52-8542-07F835BBF4DD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34" name="Host Control  24">
          <a:extLst>
            <a:ext uri="{FF2B5EF4-FFF2-40B4-BE49-F238E27FC236}">
              <a16:creationId xmlns:a16="http://schemas.microsoft.com/office/drawing/2014/main" id="{6615856A-2862-4651-A8AB-B918B5748E6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35" name="Host Control  25">
          <a:extLst>
            <a:ext uri="{FF2B5EF4-FFF2-40B4-BE49-F238E27FC236}">
              <a16:creationId xmlns:a16="http://schemas.microsoft.com/office/drawing/2014/main" id="{19981227-B8D8-4C05-BE9C-4AC73C9686B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36" name="Host Control  26">
          <a:extLst>
            <a:ext uri="{FF2B5EF4-FFF2-40B4-BE49-F238E27FC236}">
              <a16:creationId xmlns:a16="http://schemas.microsoft.com/office/drawing/2014/main" id="{D3E264E6-49A3-4FCC-AB84-EDC897A78212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37" name="Host Control  28">
          <a:extLst>
            <a:ext uri="{FF2B5EF4-FFF2-40B4-BE49-F238E27FC236}">
              <a16:creationId xmlns:a16="http://schemas.microsoft.com/office/drawing/2014/main" id="{6F25CF10-0AAE-4EBB-B4F5-01FAF26D453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38" name="Host Control  29">
          <a:extLst>
            <a:ext uri="{FF2B5EF4-FFF2-40B4-BE49-F238E27FC236}">
              <a16:creationId xmlns:a16="http://schemas.microsoft.com/office/drawing/2014/main" id="{BC1D8CD5-4410-493C-A1E8-4DFD97BB356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39" name="Host Control  30">
          <a:extLst>
            <a:ext uri="{FF2B5EF4-FFF2-40B4-BE49-F238E27FC236}">
              <a16:creationId xmlns:a16="http://schemas.microsoft.com/office/drawing/2014/main" id="{770E205C-EA26-4FF6-A72F-500567F799B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40" name="Host Control  32">
          <a:extLst>
            <a:ext uri="{FF2B5EF4-FFF2-40B4-BE49-F238E27FC236}">
              <a16:creationId xmlns:a16="http://schemas.microsoft.com/office/drawing/2014/main" id="{F3A042C0-3887-495F-8937-45F358C46C8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41" name="Host Control  33">
          <a:extLst>
            <a:ext uri="{FF2B5EF4-FFF2-40B4-BE49-F238E27FC236}">
              <a16:creationId xmlns:a16="http://schemas.microsoft.com/office/drawing/2014/main" id="{E397D4EA-DCC1-4C39-9B57-26D14E7BCFA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42" name="Host Control  34">
          <a:extLst>
            <a:ext uri="{FF2B5EF4-FFF2-40B4-BE49-F238E27FC236}">
              <a16:creationId xmlns:a16="http://schemas.microsoft.com/office/drawing/2014/main" id="{280F654F-B5AA-4DA2-8E84-F17231051ECB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43" name="Host Control  36">
          <a:extLst>
            <a:ext uri="{FF2B5EF4-FFF2-40B4-BE49-F238E27FC236}">
              <a16:creationId xmlns:a16="http://schemas.microsoft.com/office/drawing/2014/main" id="{61B1F885-8839-4EFC-A1C7-2B2BBDD28AA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44" name="Host Control  37">
          <a:extLst>
            <a:ext uri="{FF2B5EF4-FFF2-40B4-BE49-F238E27FC236}">
              <a16:creationId xmlns:a16="http://schemas.microsoft.com/office/drawing/2014/main" id="{8925AD70-4ACF-4E3A-AE79-91329AB4176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45" name="Host Control  38">
          <a:extLst>
            <a:ext uri="{FF2B5EF4-FFF2-40B4-BE49-F238E27FC236}">
              <a16:creationId xmlns:a16="http://schemas.microsoft.com/office/drawing/2014/main" id="{40F18ABE-D6D3-4B30-AA2C-2839EB79D0F2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46" name="Host Control  40">
          <a:extLst>
            <a:ext uri="{FF2B5EF4-FFF2-40B4-BE49-F238E27FC236}">
              <a16:creationId xmlns:a16="http://schemas.microsoft.com/office/drawing/2014/main" id="{E53356D6-6CEE-4A9A-9F13-ED4A8CEE530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47" name="Host Control  41">
          <a:extLst>
            <a:ext uri="{FF2B5EF4-FFF2-40B4-BE49-F238E27FC236}">
              <a16:creationId xmlns:a16="http://schemas.microsoft.com/office/drawing/2014/main" id="{BD91E807-CF56-4BDE-93E4-778E9EAA057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48" name="Host Control  42">
          <a:extLst>
            <a:ext uri="{FF2B5EF4-FFF2-40B4-BE49-F238E27FC236}">
              <a16:creationId xmlns:a16="http://schemas.microsoft.com/office/drawing/2014/main" id="{7B19496B-C65F-4397-979B-3E631F8544B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49" name="Host Control  44">
          <a:extLst>
            <a:ext uri="{FF2B5EF4-FFF2-40B4-BE49-F238E27FC236}">
              <a16:creationId xmlns:a16="http://schemas.microsoft.com/office/drawing/2014/main" id="{6C8F678C-C4E5-4D0E-883B-86D5284B70E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50" name="Host Control  45">
          <a:extLst>
            <a:ext uri="{FF2B5EF4-FFF2-40B4-BE49-F238E27FC236}">
              <a16:creationId xmlns:a16="http://schemas.microsoft.com/office/drawing/2014/main" id="{5D8F749D-4C64-4716-8160-367FD503C4D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51" name="Host Control  46">
          <a:extLst>
            <a:ext uri="{FF2B5EF4-FFF2-40B4-BE49-F238E27FC236}">
              <a16:creationId xmlns:a16="http://schemas.microsoft.com/office/drawing/2014/main" id="{1E895F38-466B-48B7-8AF0-805BF8FDDD18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52" name="Host Control  5">
          <a:extLst>
            <a:ext uri="{FF2B5EF4-FFF2-40B4-BE49-F238E27FC236}">
              <a16:creationId xmlns:a16="http://schemas.microsoft.com/office/drawing/2014/main" id="{94596BD7-7AD8-4841-9A54-96252755722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53" name="Host Control  6">
          <a:extLst>
            <a:ext uri="{FF2B5EF4-FFF2-40B4-BE49-F238E27FC236}">
              <a16:creationId xmlns:a16="http://schemas.microsoft.com/office/drawing/2014/main" id="{553559B8-BC64-47D1-B7F3-475CD101080E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54" name="Host Control  7">
          <a:extLst>
            <a:ext uri="{FF2B5EF4-FFF2-40B4-BE49-F238E27FC236}">
              <a16:creationId xmlns:a16="http://schemas.microsoft.com/office/drawing/2014/main" id="{D3DB6A4F-BC53-489D-ADD3-20EB58A4ADD2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55" name="Host Control  12">
          <a:extLst>
            <a:ext uri="{FF2B5EF4-FFF2-40B4-BE49-F238E27FC236}">
              <a16:creationId xmlns:a16="http://schemas.microsoft.com/office/drawing/2014/main" id="{70875DDE-7484-4718-8C09-93D05341CED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56" name="Host Control  13">
          <a:extLst>
            <a:ext uri="{FF2B5EF4-FFF2-40B4-BE49-F238E27FC236}">
              <a16:creationId xmlns:a16="http://schemas.microsoft.com/office/drawing/2014/main" id="{B157D521-7567-4E7B-9505-E92C495E6208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57" name="Host Control  14">
          <a:extLst>
            <a:ext uri="{FF2B5EF4-FFF2-40B4-BE49-F238E27FC236}">
              <a16:creationId xmlns:a16="http://schemas.microsoft.com/office/drawing/2014/main" id="{FBE5FFF0-456A-46EB-B343-82F2A0CEB921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58" name="Host Control  16">
          <a:extLst>
            <a:ext uri="{FF2B5EF4-FFF2-40B4-BE49-F238E27FC236}">
              <a16:creationId xmlns:a16="http://schemas.microsoft.com/office/drawing/2014/main" id="{2F0D25EF-760F-4084-B1D9-6F35C3A59A8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59" name="Host Control  17">
          <a:extLst>
            <a:ext uri="{FF2B5EF4-FFF2-40B4-BE49-F238E27FC236}">
              <a16:creationId xmlns:a16="http://schemas.microsoft.com/office/drawing/2014/main" id="{39ADDD92-C6C0-4AA4-A841-DF558163BA11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60" name="Host Control  18">
          <a:extLst>
            <a:ext uri="{FF2B5EF4-FFF2-40B4-BE49-F238E27FC236}">
              <a16:creationId xmlns:a16="http://schemas.microsoft.com/office/drawing/2014/main" id="{21CCF862-89AB-4DC7-9F7E-71CDD86A4AA5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61" name="Host Control  20">
          <a:extLst>
            <a:ext uri="{FF2B5EF4-FFF2-40B4-BE49-F238E27FC236}">
              <a16:creationId xmlns:a16="http://schemas.microsoft.com/office/drawing/2014/main" id="{E490445C-B643-4041-8405-22941251BC8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62" name="Host Control  21">
          <a:extLst>
            <a:ext uri="{FF2B5EF4-FFF2-40B4-BE49-F238E27FC236}">
              <a16:creationId xmlns:a16="http://schemas.microsoft.com/office/drawing/2014/main" id="{99D38839-56F4-4118-854C-748410B2BE60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63" name="Host Control  22">
          <a:extLst>
            <a:ext uri="{FF2B5EF4-FFF2-40B4-BE49-F238E27FC236}">
              <a16:creationId xmlns:a16="http://schemas.microsoft.com/office/drawing/2014/main" id="{E593A0E7-1539-419D-88C3-DAC0004DDDEF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64" name="Host Control  24">
          <a:extLst>
            <a:ext uri="{FF2B5EF4-FFF2-40B4-BE49-F238E27FC236}">
              <a16:creationId xmlns:a16="http://schemas.microsoft.com/office/drawing/2014/main" id="{179EBF42-BDCA-45CE-BF4F-2C7D64CEB98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65" name="Host Control  25">
          <a:extLst>
            <a:ext uri="{FF2B5EF4-FFF2-40B4-BE49-F238E27FC236}">
              <a16:creationId xmlns:a16="http://schemas.microsoft.com/office/drawing/2014/main" id="{4E461314-B528-4AC2-BDD0-FCE2D5F5B4C8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66" name="Host Control  26">
          <a:extLst>
            <a:ext uri="{FF2B5EF4-FFF2-40B4-BE49-F238E27FC236}">
              <a16:creationId xmlns:a16="http://schemas.microsoft.com/office/drawing/2014/main" id="{D26796CE-7FDE-4B01-853D-7DC8406DE282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67" name="Host Control  28">
          <a:extLst>
            <a:ext uri="{FF2B5EF4-FFF2-40B4-BE49-F238E27FC236}">
              <a16:creationId xmlns:a16="http://schemas.microsoft.com/office/drawing/2014/main" id="{F21CF18B-17BD-4BE2-9165-905644DE69F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68" name="Host Control  29">
          <a:extLst>
            <a:ext uri="{FF2B5EF4-FFF2-40B4-BE49-F238E27FC236}">
              <a16:creationId xmlns:a16="http://schemas.microsoft.com/office/drawing/2014/main" id="{8949765B-51CC-4CE5-8F40-E8247C3156DA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69" name="Host Control  30">
          <a:extLst>
            <a:ext uri="{FF2B5EF4-FFF2-40B4-BE49-F238E27FC236}">
              <a16:creationId xmlns:a16="http://schemas.microsoft.com/office/drawing/2014/main" id="{5BC310DA-28CF-4D13-8B9B-58CE5E2BBADB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70" name="Host Control  32">
          <a:extLst>
            <a:ext uri="{FF2B5EF4-FFF2-40B4-BE49-F238E27FC236}">
              <a16:creationId xmlns:a16="http://schemas.microsoft.com/office/drawing/2014/main" id="{6CEF4782-DF06-4BD0-8FAD-06BD240BCA1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71" name="Host Control  33">
          <a:extLst>
            <a:ext uri="{FF2B5EF4-FFF2-40B4-BE49-F238E27FC236}">
              <a16:creationId xmlns:a16="http://schemas.microsoft.com/office/drawing/2014/main" id="{CD90DA4E-78D7-4B0B-AD95-5F4FE947E52C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72" name="Host Control  34">
          <a:extLst>
            <a:ext uri="{FF2B5EF4-FFF2-40B4-BE49-F238E27FC236}">
              <a16:creationId xmlns:a16="http://schemas.microsoft.com/office/drawing/2014/main" id="{1FA0D483-DE23-4E24-9192-4F19BEC5F32C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73" name="Host Control  36">
          <a:extLst>
            <a:ext uri="{FF2B5EF4-FFF2-40B4-BE49-F238E27FC236}">
              <a16:creationId xmlns:a16="http://schemas.microsoft.com/office/drawing/2014/main" id="{51CD96EB-21DF-49A3-8EB0-068AA965875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74" name="Host Control  37">
          <a:extLst>
            <a:ext uri="{FF2B5EF4-FFF2-40B4-BE49-F238E27FC236}">
              <a16:creationId xmlns:a16="http://schemas.microsoft.com/office/drawing/2014/main" id="{4BE316FA-63A9-47AD-9CFE-7557C3F20CEC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75" name="Host Control  38">
          <a:extLst>
            <a:ext uri="{FF2B5EF4-FFF2-40B4-BE49-F238E27FC236}">
              <a16:creationId xmlns:a16="http://schemas.microsoft.com/office/drawing/2014/main" id="{4CBA9E97-423E-4DB2-A852-323403C1F125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76" name="Host Control  40">
          <a:extLst>
            <a:ext uri="{FF2B5EF4-FFF2-40B4-BE49-F238E27FC236}">
              <a16:creationId xmlns:a16="http://schemas.microsoft.com/office/drawing/2014/main" id="{4D07B414-7838-4DBD-A7EC-06FA6A9388E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77" name="Host Control  41">
          <a:extLst>
            <a:ext uri="{FF2B5EF4-FFF2-40B4-BE49-F238E27FC236}">
              <a16:creationId xmlns:a16="http://schemas.microsoft.com/office/drawing/2014/main" id="{15EE9792-EA13-4008-B5A7-528804876DFF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78" name="Host Control  42">
          <a:extLst>
            <a:ext uri="{FF2B5EF4-FFF2-40B4-BE49-F238E27FC236}">
              <a16:creationId xmlns:a16="http://schemas.microsoft.com/office/drawing/2014/main" id="{53A09F01-FC3F-4CE2-AE74-77A464362AA7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79" name="Host Control  44">
          <a:extLst>
            <a:ext uri="{FF2B5EF4-FFF2-40B4-BE49-F238E27FC236}">
              <a16:creationId xmlns:a16="http://schemas.microsoft.com/office/drawing/2014/main" id="{46DF63C4-99AB-4F9F-BEF7-DF41A42C2FC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380" name="Host Control  45">
          <a:extLst>
            <a:ext uri="{FF2B5EF4-FFF2-40B4-BE49-F238E27FC236}">
              <a16:creationId xmlns:a16="http://schemas.microsoft.com/office/drawing/2014/main" id="{A27340E7-7FDE-4F22-982C-4A90C289CA88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381" name="Host Control  46">
          <a:extLst>
            <a:ext uri="{FF2B5EF4-FFF2-40B4-BE49-F238E27FC236}">
              <a16:creationId xmlns:a16="http://schemas.microsoft.com/office/drawing/2014/main" id="{BE50A4A3-8406-44FC-812E-83C2876897E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82" name="Host Control  5">
          <a:extLst>
            <a:ext uri="{FF2B5EF4-FFF2-40B4-BE49-F238E27FC236}">
              <a16:creationId xmlns:a16="http://schemas.microsoft.com/office/drawing/2014/main" id="{99085DAE-54B0-496B-A9A5-843E0FCFBFB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83" name="Host Control  6">
          <a:extLst>
            <a:ext uri="{FF2B5EF4-FFF2-40B4-BE49-F238E27FC236}">
              <a16:creationId xmlns:a16="http://schemas.microsoft.com/office/drawing/2014/main" id="{EEBA9358-453A-49D3-A955-167D08BB3C2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84" name="Host Control  7">
          <a:extLst>
            <a:ext uri="{FF2B5EF4-FFF2-40B4-BE49-F238E27FC236}">
              <a16:creationId xmlns:a16="http://schemas.microsoft.com/office/drawing/2014/main" id="{4F66739C-A132-43DC-ACF2-C9F07AB18291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85" name="Host Control  12">
          <a:extLst>
            <a:ext uri="{FF2B5EF4-FFF2-40B4-BE49-F238E27FC236}">
              <a16:creationId xmlns:a16="http://schemas.microsoft.com/office/drawing/2014/main" id="{F18E78C8-22EB-43F7-8F91-59470BF89E6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86" name="Host Control  13">
          <a:extLst>
            <a:ext uri="{FF2B5EF4-FFF2-40B4-BE49-F238E27FC236}">
              <a16:creationId xmlns:a16="http://schemas.microsoft.com/office/drawing/2014/main" id="{FF707D2C-BF8B-493E-AEA5-BF87645D6F5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87" name="Host Control  14">
          <a:extLst>
            <a:ext uri="{FF2B5EF4-FFF2-40B4-BE49-F238E27FC236}">
              <a16:creationId xmlns:a16="http://schemas.microsoft.com/office/drawing/2014/main" id="{74C7DE59-5402-4992-98FA-55C7DE072789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88" name="Host Control  16">
          <a:extLst>
            <a:ext uri="{FF2B5EF4-FFF2-40B4-BE49-F238E27FC236}">
              <a16:creationId xmlns:a16="http://schemas.microsoft.com/office/drawing/2014/main" id="{2F99A6F4-B14E-470C-8A76-4B44939DD1E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89" name="Host Control  17">
          <a:extLst>
            <a:ext uri="{FF2B5EF4-FFF2-40B4-BE49-F238E27FC236}">
              <a16:creationId xmlns:a16="http://schemas.microsoft.com/office/drawing/2014/main" id="{4CA7A9AC-E93C-4B10-B856-145F14B2439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90" name="Host Control  18">
          <a:extLst>
            <a:ext uri="{FF2B5EF4-FFF2-40B4-BE49-F238E27FC236}">
              <a16:creationId xmlns:a16="http://schemas.microsoft.com/office/drawing/2014/main" id="{F7D1C496-93FB-4859-802A-8EF81F41DD5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91" name="Host Control  20">
          <a:extLst>
            <a:ext uri="{FF2B5EF4-FFF2-40B4-BE49-F238E27FC236}">
              <a16:creationId xmlns:a16="http://schemas.microsoft.com/office/drawing/2014/main" id="{51D4ED48-67E4-4236-98A7-7B9949705F2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92" name="Host Control  21">
          <a:extLst>
            <a:ext uri="{FF2B5EF4-FFF2-40B4-BE49-F238E27FC236}">
              <a16:creationId xmlns:a16="http://schemas.microsoft.com/office/drawing/2014/main" id="{715CAA39-D7C5-4A8F-9E56-B08A91A19B2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93" name="Host Control  22">
          <a:extLst>
            <a:ext uri="{FF2B5EF4-FFF2-40B4-BE49-F238E27FC236}">
              <a16:creationId xmlns:a16="http://schemas.microsoft.com/office/drawing/2014/main" id="{45A0C6F2-5E5B-4ADA-B026-1C1D1545E5BD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94" name="Host Control  24">
          <a:extLst>
            <a:ext uri="{FF2B5EF4-FFF2-40B4-BE49-F238E27FC236}">
              <a16:creationId xmlns:a16="http://schemas.microsoft.com/office/drawing/2014/main" id="{1EF11576-E993-4923-BB68-879FE5BFF32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95" name="Host Control  25">
          <a:extLst>
            <a:ext uri="{FF2B5EF4-FFF2-40B4-BE49-F238E27FC236}">
              <a16:creationId xmlns:a16="http://schemas.microsoft.com/office/drawing/2014/main" id="{3F9047D2-5F87-450B-95CA-2CE360B5009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96" name="Host Control  26">
          <a:extLst>
            <a:ext uri="{FF2B5EF4-FFF2-40B4-BE49-F238E27FC236}">
              <a16:creationId xmlns:a16="http://schemas.microsoft.com/office/drawing/2014/main" id="{44C34167-3800-4BD3-AFDF-04A6C8CBB82F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97" name="Host Control  28">
          <a:extLst>
            <a:ext uri="{FF2B5EF4-FFF2-40B4-BE49-F238E27FC236}">
              <a16:creationId xmlns:a16="http://schemas.microsoft.com/office/drawing/2014/main" id="{5128BF1B-F0FC-46AC-A33D-AB824D4DA7A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398" name="Host Control  29">
          <a:extLst>
            <a:ext uri="{FF2B5EF4-FFF2-40B4-BE49-F238E27FC236}">
              <a16:creationId xmlns:a16="http://schemas.microsoft.com/office/drawing/2014/main" id="{037576A6-661F-43A2-B894-7B32A47B864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399" name="Host Control  30">
          <a:extLst>
            <a:ext uri="{FF2B5EF4-FFF2-40B4-BE49-F238E27FC236}">
              <a16:creationId xmlns:a16="http://schemas.microsoft.com/office/drawing/2014/main" id="{5126492E-5B75-4021-BE36-E57C6E250A1C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00" name="Host Control  32">
          <a:extLst>
            <a:ext uri="{FF2B5EF4-FFF2-40B4-BE49-F238E27FC236}">
              <a16:creationId xmlns:a16="http://schemas.microsoft.com/office/drawing/2014/main" id="{674863CF-0120-437E-8B0E-1CED80BC567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01" name="Host Control  33">
          <a:extLst>
            <a:ext uri="{FF2B5EF4-FFF2-40B4-BE49-F238E27FC236}">
              <a16:creationId xmlns:a16="http://schemas.microsoft.com/office/drawing/2014/main" id="{8C327628-911B-49DD-A376-BE103FFF4DE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02" name="Host Control  34">
          <a:extLst>
            <a:ext uri="{FF2B5EF4-FFF2-40B4-BE49-F238E27FC236}">
              <a16:creationId xmlns:a16="http://schemas.microsoft.com/office/drawing/2014/main" id="{CABB979E-A755-4768-972C-1D3D0D012E9E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03" name="Host Control  36">
          <a:extLst>
            <a:ext uri="{FF2B5EF4-FFF2-40B4-BE49-F238E27FC236}">
              <a16:creationId xmlns:a16="http://schemas.microsoft.com/office/drawing/2014/main" id="{7C02B74A-5A1D-4B7B-8FD4-ACFF25FD0AF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04" name="Host Control  37">
          <a:extLst>
            <a:ext uri="{FF2B5EF4-FFF2-40B4-BE49-F238E27FC236}">
              <a16:creationId xmlns:a16="http://schemas.microsoft.com/office/drawing/2014/main" id="{510CD47B-C288-4E9F-9E19-B704AF5BF1F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05" name="Host Control  38">
          <a:extLst>
            <a:ext uri="{FF2B5EF4-FFF2-40B4-BE49-F238E27FC236}">
              <a16:creationId xmlns:a16="http://schemas.microsoft.com/office/drawing/2014/main" id="{2A039135-F592-413B-A336-3344061A3B37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06" name="Host Control  40">
          <a:extLst>
            <a:ext uri="{FF2B5EF4-FFF2-40B4-BE49-F238E27FC236}">
              <a16:creationId xmlns:a16="http://schemas.microsoft.com/office/drawing/2014/main" id="{C7635A21-C5E5-417C-A541-75285D9DFF2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07" name="Host Control  41">
          <a:extLst>
            <a:ext uri="{FF2B5EF4-FFF2-40B4-BE49-F238E27FC236}">
              <a16:creationId xmlns:a16="http://schemas.microsoft.com/office/drawing/2014/main" id="{CB5E622C-BBD3-49AA-8A4F-CDA85EAE05D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08" name="Host Control  42">
          <a:extLst>
            <a:ext uri="{FF2B5EF4-FFF2-40B4-BE49-F238E27FC236}">
              <a16:creationId xmlns:a16="http://schemas.microsoft.com/office/drawing/2014/main" id="{F399790A-1F70-4A96-9DFE-B5DCB29DB9BF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09" name="Host Control  44">
          <a:extLst>
            <a:ext uri="{FF2B5EF4-FFF2-40B4-BE49-F238E27FC236}">
              <a16:creationId xmlns:a16="http://schemas.microsoft.com/office/drawing/2014/main" id="{55A7CE44-4530-4697-B7EA-6D123D6FD5E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10" name="Host Control  45">
          <a:extLst>
            <a:ext uri="{FF2B5EF4-FFF2-40B4-BE49-F238E27FC236}">
              <a16:creationId xmlns:a16="http://schemas.microsoft.com/office/drawing/2014/main" id="{B9CA7AC3-4882-4A8A-9B85-C59955030CA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11" name="Host Control  46">
          <a:extLst>
            <a:ext uri="{FF2B5EF4-FFF2-40B4-BE49-F238E27FC236}">
              <a16:creationId xmlns:a16="http://schemas.microsoft.com/office/drawing/2014/main" id="{E21B7A68-DBE0-467E-A0CF-C15141A43649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12" name="Host Control  5">
          <a:extLst>
            <a:ext uri="{FF2B5EF4-FFF2-40B4-BE49-F238E27FC236}">
              <a16:creationId xmlns:a16="http://schemas.microsoft.com/office/drawing/2014/main" id="{D1558431-B14C-4C4D-9B97-8F09741CAD8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13" name="Host Control  6">
          <a:extLst>
            <a:ext uri="{FF2B5EF4-FFF2-40B4-BE49-F238E27FC236}">
              <a16:creationId xmlns:a16="http://schemas.microsoft.com/office/drawing/2014/main" id="{190141FA-78E5-4327-B20F-F899A2F79574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14" name="Host Control  7">
          <a:extLst>
            <a:ext uri="{FF2B5EF4-FFF2-40B4-BE49-F238E27FC236}">
              <a16:creationId xmlns:a16="http://schemas.microsoft.com/office/drawing/2014/main" id="{55996FE5-7459-4B07-9222-2B119106608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15" name="Host Control  12">
          <a:extLst>
            <a:ext uri="{FF2B5EF4-FFF2-40B4-BE49-F238E27FC236}">
              <a16:creationId xmlns:a16="http://schemas.microsoft.com/office/drawing/2014/main" id="{E4EE3B3C-4877-43C6-800E-43EF8837992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16" name="Host Control  13">
          <a:extLst>
            <a:ext uri="{FF2B5EF4-FFF2-40B4-BE49-F238E27FC236}">
              <a16:creationId xmlns:a16="http://schemas.microsoft.com/office/drawing/2014/main" id="{CBDE0622-2D27-4C56-903C-E7C2FDB1575D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17" name="Host Control  14">
          <a:extLst>
            <a:ext uri="{FF2B5EF4-FFF2-40B4-BE49-F238E27FC236}">
              <a16:creationId xmlns:a16="http://schemas.microsoft.com/office/drawing/2014/main" id="{DAB3809C-3F91-4F10-BFF0-98AC8BC6B592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18" name="Host Control  16">
          <a:extLst>
            <a:ext uri="{FF2B5EF4-FFF2-40B4-BE49-F238E27FC236}">
              <a16:creationId xmlns:a16="http://schemas.microsoft.com/office/drawing/2014/main" id="{2D37ED62-EBF6-4D81-B929-B2B225F33EA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19" name="Host Control  17">
          <a:extLst>
            <a:ext uri="{FF2B5EF4-FFF2-40B4-BE49-F238E27FC236}">
              <a16:creationId xmlns:a16="http://schemas.microsoft.com/office/drawing/2014/main" id="{FD18E9E6-CAA9-47E8-9D5F-C475B641631F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20" name="Host Control  18">
          <a:extLst>
            <a:ext uri="{FF2B5EF4-FFF2-40B4-BE49-F238E27FC236}">
              <a16:creationId xmlns:a16="http://schemas.microsoft.com/office/drawing/2014/main" id="{3F123084-27A7-42C3-8EC0-F2A22FFACF57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21" name="Host Control  20">
          <a:extLst>
            <a:ext uri="{FF2B5EF4-FFF2-40B4-BE49-F238E27FC236}">
              <a16:creationId xmlns:a16="http://schemas.microsoft.com/office/drawing/2014/main" id="{914468E2-0AFC-45AE-AA36-44317D11BA4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22" name="Host Control  21">
          <a:extLst>
            <a:ext uri="{FF2B5EF4-FFF2-40B4-BE49-F238E27FC236}">
              <a16:creationId xmlns:a16="http://schemas.microsoft.com/office/drawing/2014/main" id="{A9BFD65F-82F0-4C26-90FA-DABC526EBD55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23" name="Host Control  22">
          <a:extLst>
            <a:ext uri="{FF2B5EF4-FFF2-40B4-BE49-F238E27FC236}">
              <a16:creationId xmlns:a16="http://schemas.microsoft.com/office/drawing/2014/main" id="{C7CBA64F-2702-4D8A-9E15-031EE348AA19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24" name="Host Control  24">
          <a:extLst>
            <a:ext uri="{FF2B5EF4-FFF2-40B4-BE49-F238E27FC236}">
              <a16:creationId xmlns:a16="http://schemas.microsoft.com/office/drawing/2014/main" id="{053946B3-1FBD-4C25-A908-DADDEE8E2F4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25" name="Host Control  25">
          <a:extLst>
            <a:ext uri="{FF2B5EF4-FFF2-40B4-BE49-F238E27FC236}">
              <a16:creationId xmlns:a16="http://schemas.microsoft.com/office/drawing/2014/main" id="{B94FD171-A1BA-4CAD-A1EF-326095FB8765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26" name="Host Control  26">
          <a:extLst>
            <a:ext uri="{FF2B5EF4-FFF2-40B4-BE49-F238E27FC236}">
              <a16:creationId xmlns:a16="http://schemas.microsoft.com/office/drawing/2014/main" id="{D1B77149-8EF5-4D21-8ACF-43E9BDCE855F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27" name="Host Control  28">
          <a:extLst>
            <a:ext uri="{FF2B5EF4-FFF2-40B4-BE49-F238E27FC236}">
              <a16:creationId xmlns:a16="http://schemas.microsoft.com/office/drawing/2014/main" id="{8888B381-3BF2-42BC-8790-C70E83F888D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28" name="Host Control  29">
          <a:extLst>
            <a:ext uri="{FF2B5EF4-FFF2-40B4-BE49-F238E27FC236}">
              <a16:creationId xmlns:a16="http://schemas.microsoft.com/office/drawing/2014/main" id="{041196FF-99BF-46CA-AC1F-F1504841F428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29" name="Host Control  30">
          <a:extLst>
            <a:ext uri="{FF2B5EF4-FFF2-40B4-BE49-F238E27FC236}">
              <a16:creationId xmlns:a16="http://schemas.microsoft.com/office/drawing/2014/main" id="{9B4E5BAB-98CF-42E6-B613-6FAC820772E3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30" name="Host Control  32">
          <a:extLst>
            <a:ext uri="{FF2B5EF4-FFF2-40B4-BE49-F238E27FC236}">
              <a16:creationId xmlns:a16="http://schemas.microsoft.com/office/drawing/2014/main" id="{05E8F813-F165-4683-B589-D93239AF158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31" name="Host Control  33">
          <a:extLst>
            <a:ext uri="{FF2B5EF4-FFF2-40B4-BE49-F238E27FC236}">
              <a16:creationId xmlns:a16="http://schemas.microsoft.com/office/drawing/2014/main" id="{FF0F13F0-8978-4244-8B68-43878BBA9629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32" name="Host Control  34">
          <a:extLst>
            <a:ext uri="{FF2B5EF4-FFF2-40B4-BE49-F238E27FC236}">
              <a16:creationId xmlns:a16="http://schemas.microsoft.com/office/drawing/2014/main" id="{AA4FAB8E-3CFB-4985-845F-FAA48FF736B9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33" name="Host Control  36">
          <a:extLst>
            <a:ext uri="{FF2B5EF4-FFF2-40B4-BE49-F238E27FC236}">
              <a16:creationId xmlns:a16="http://schemas.microsoft.com/office/drawing/2014/main" id="{FE16B0F3-7B06-4250-A02C-93532691ADC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34" name="Host Control  37">
          <a:extLst>
            <a:ext uri="{FF2B5EF4-FFF2-40B4-BE49-F238E27FC236}">
              <a16:creationId xmlns:a16="http://schemas.microsoft.com/office/drawing/2014/main" id="{7172E4B8-0C2C-4397-85C2-4BF089ED3141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35" name="Host Control  38">
          <a:extLst>
            <a:ext uri="{FF2B5EF4-FFF2-40B4-BE49-F238E27FC236}">
              <a16:creationId xmlns:a16="http://schemas.microsoft.com/office/drawing/2014/main" id="{283526EE-D671-46BE-805A-71DA91C0A510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36" name="Host Control  40">
          <a:extLst>
            <a:ext uri="{FF2B5EF4-FFF2-40B4-BE49-F238E27FC236}">
              <a16:creationId xmlns:a16="http://schemas.microsoft.com/office/drawing/2014/main" id="{C7463A7C-8F28-41CF-A2E1-F306104E27A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37" name="Host Control  41">
          <a:extLst>
            <a:ext uri="{FF2B5EF4-FFF2-40B4-BE49-F238E27FC236}">
              <a16:creationId xmlns:a16="http://schemas.microsoft.com/office/drawing/2014/main" id="{EC0E877F-7048-4F2A-9355-BF29FA11CD3D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38" name="Host Control  42">
          <a:extLst>
            <a:ext uri="{FF2B5EF4-FFF2-40B4-BE49-F238E27FC236}">
              <a16:creationId xmlns:a16="http://schemas.microsoft.com/office/drawing/2014/main" id="{51BE31EB-B80C-457A-8890-9716C9905B36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39" name="Host Control  44">
          <a:extLst>
            <a:ext uri="{FF2B5EF4-FFF2-40B4-BE49-F238E27FC236}">
              <a16:creationId xmlns:a16="http://schemas.microsoft.com/office/drawing/2014/main" id="{E800305F-FC36-49F6-A24F-CFE1A32FF6D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40" name="Host Control  45">
          <a:extLst>
            <a:ext uri="{FF2B5EF4-FFF2-40B4-BE49-F238E27FC236}">
              <a16:creationId xmlns:a16="http://schemas.microsoft.com/office/drawing/2014/main" id="{1F59A81A-668B-4518-B854-1FECC2E18CDC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41" name="Host Control  46">
          <a:extLst>
            <a:ext uri="{FF2B5EF4-FFF2-40B4-BE49-F238E27FC236}">
              <a16:creationId xmlns:a16="http://schemas.microsoft.com/office/drawing/2014/main" id="{48592618-1710-469B-8F9C-50B30ADC8DC2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42" name="Host Control  5">
          <a:extLst>
            <a:ext uri="{FF2B5EF4-FFF2-40B4-BE49-F238E27FC236}">
              <a16:creationId xmlns:a16="http://schemas.microsoft.com/office/drawing/2014/main" id="{26655B30-0942-41FE-B12A-2E7E3977815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43" name="Host Control  6">
          <a:extLst>
            <a:ext uri="{FF2B5EF4-FFF2-40B4-BE49-F238E27FC236}">
              <a16:creationId xmlns:a16="http://schemas.microsoft.com/office/drawing/2014/main" id="{84D0A176-D815-4548-826E-B7AB03334AA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44" name="Host Control  7">
          <a:extLst>
            <a:ext uri="{FF2B5EF4-FFF2-40B4-BE49-F238E27FC236}">
              <a16:creationId xmlns:a16="http://schemas.microsoft.com/office/drawing/2014/main" id="{6DD3020C-B2C2-45CC-8706-11BADCDAABD0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45" name="Host Control  12">
          <a:extLst>
            <a:ext uri="{FF2B5EF4-FFF2-40B4-BE49-F238E27FC236}">
              <a16:creationId xmlns:a16="http://schemas.microsoft.com/office/drawing/2014/main" id="{F2B44453-9883-44BE-9102-CC50F2E405E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46" name="Host Control  13">
          <a:extLst>
            <a:ext uri="{FF2B5EF4-FFF2-40B4-BE49-F238E27FC236}">
              <a16:creationId xmlns:a16="http://schemas.microsoft.com/office/drawing/2014/main" id="{B9A1E6B9-477C-4513-B804-7F7D93270AA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47" name="Host Control  14">
          <a:extLst>
            <a:ext uri="{FF2B5EF4-FFF2-40B4-BE49-F238E27FC236}">
              <a16:creationId xmlns:a16="http://schemas.microsoft.com/office/drawing/2014/main" id="{DED98492-2B53-470D-9D63-DD66A9903D9D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48" name="Host Control  16">
          <a:extLst>
            <a:ext uri="{FF2B5EF4-FFF2-40B4-BE49-F238E27FC236}">
              <a16:creationId xmlns:a16="http://schemas.microsoft.com/office/drawing/2014/main" id="{71FEA7CF-D205-48A9-B02E-43CFB8C15EB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49" name="Host Control  17">
          <a:extLst>
            <a:ext uri="{FF2B5EF4-FFF2-40B4-BE49-F238E27FC236}">
              <a16:creationId xmlns:a16="http://schemas.microsoft.com/office/drawing/2014/main" id="{440CB0B4-D184-4281-B3D2-350731820A5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50" name="Host Control  18">
          <a:extLst>
            <a:ext uri="{FF2B5EF4-FFF2-40B4-BE49-F238E27FC236}">
              <a16:creationId xmlns:a16="http://schemas.microsoft.com/office/drawing/2014/main" id="{C02D5E30-80D2-4EF8-A622-142A0B5731A7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51" name="Host Control  20">
          <a:extLst>
            <a:ext uri="{FF2B5EF4-FFF2-40B4-BE49-F238E27FC236}">
              <a16:creationId xmlns:a16="http://schemas.microsoft.com/office/drawing/2014/main" id="{58432E18-6344-4ADD-8033-C2EC5BC47FA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52" name="Host Control  21">
          <a:extLst>
            <a:ext uri="{FF2B5EF4-FFF2-40B4-BE49-F238E27FC236}">
              <a16:creationId xmlns:a16="http://schemas.microsoft.com/office/drawing/2014/main" id="{0509E35B-8EDF-4430-AC47-A296C06F1BF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53" name="Host Control  22">
          <a:extLst>
            <a:ext uri="{FF2B5EF4-FFF2-40B4-BE49-F238E27FC236}">
              <a16:creationId xmlns:a16="http://schemas.microsoft.com/office/drawing/2014/main" id="{E22F9423-223C-48D2-8425-EBD0B21227FF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54" name="Host Control  24">
          <a:extLst>
            <a:ext uri="{FF2B5EF4-FFF2-40B4-BE49-F238E27FC236}">
              <a16:creationId xmlns:a16="http://schemas.microsoft.com/office/drawing/2014/main" id="{63FB7EDB-B54C-43B3-8FB9-2A8E0E94C52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55" name="Host Control  25">
          <a:extLst>
            <a:ext uri="{FF2B5EF4-FFF2-40B4-BE49-F238E27FC236}">
              <a16:creationId xmlns:a16="http://schemas.microsoft.com/office/drawing/2014/main" id="{E2C1FA71-60EF-4ACE-B968-CBC96A0D57A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56" name="Host Control  26">
          <a:extLst>
            <a:ext uri="{FF2B5EF4-FFF2-40B4-BE49-F238E27FC236}">
              <a16:creationId xmlns:a16="http://schemas.microsoft.com/office/drawing/2014/main" id="{B4213E41-7F50-4B72-A9C3-4A167B3467C5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57" name="Host Control  28">
          <a:extLst>
            <a:ext uri="{FF2B5EF4-FFF2-40B4-BE49-F238E27FC236}">
              <a16:creationId xmlns:a16="http://schemas.microsoft.com/office/drawing/2014/main" id="{F2FE0BA9-D879-4B61-94B4-E9A3EDE6CB1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58" name="Host Control  29">
          <a:extLst>
            <a:ext uri="{FF2B5EF4-FFF2-40B4-BE49-F238E27FC236}">
              <a16:creationId xmlns:a16="http://schemas.microsoft.com/office/drawing/2014/main" id="{C51DB72D-5820-4EC6-A699-B6822642F40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59" name="Host Control  30">
          <a:extLst>
            <a:ext uri="{FF2B5EF4-FFF2-40B4-BE49-F238E27FC236}">
              <a16:creationId xmlns:a16="http://schemas.microsoft.com/office/drawing/2014/main" id="{A552B7FB-B2ED-4C85-9A65-41D258EA76E1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60" name="Host Control  32">
          <a:extLst>
            <a:ext uri="{FF2B5EF4-FFF2-40B4-BE49-F238E27FC236}">
              <a16:creationId xmlns:a16="http://schemas.microsoft.com/office/drawing/2014/main" id="{4A3FF1F0-8B8F-45B1-815F-834BF141163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61" name="Host Control  33">
          <a:extLst>
            <a:ext uri="{FF2B5EF4-FFF2-40B4-BE49-F238E27FC236}">
              <a16:creationId xmlns:a16="http://schemas.microsoft.com/office/drawing/2014/main" id="{1B361600-383F-4F51-9E10-39134737A43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62" name="Host Control  34">
          <a:extLst>
            <a:ext uri="{FF2B5EF4-FFF2-40B4-BE49-F238E27FC236}">
              <a16:creationId xmlns:a16="http://schemas.microsoft.com/office/drawing/2014/main" id="{79F5F120-02AB-4008-9C81-723A68B49AAD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63" name="Host Control  36">
          <a:extLst>
            <a:ext uri="{FF2B5EF4-FFF2-40B4-BE49-F238E27FC236}">
              <a16:creationId xmlns:a16="http://schemas.microsoft.com/office/drawing/2014/main" id="{D285EF34-E210-4BCB-B2B1-7746CE42AB1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64" name="Host Control  37">
          <a:extLst>
            <a:ext uri="{FF2B5EF4-FFF2-40B4-BE49-F238E27FC236}">
              <a16:creationId xmlns:a16="http://schemas.microsoft.com/office/drawing/2014/main" id="{092E055E-E448-483C-BFFB-738BB023590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65" name="Host Control  38">
          <a:extLst>
            <a:ext uri="{FF2B5EF4-FFF2-40B4-BE49-F238E27FC236}">
              <a16:creationId xmlns:a16="http://schemas.microsoft.com/office/drawing/2014/main" id="{C4A48548-6F8E-4AC7-BF08-2200020FE68E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66" name="Host Control  40">
          <a:extLst>
            <a:ext uri="{FF2B5EF4-FFF2-40B4-BE49-F238E27FC236}">
              <a16:creationId xmlns:a16="http://schemas.microsoft.com/office/drawing/2014/main" id="{5A6B500E-F270-4463-84F0-BC068A74977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67" name="Host Control  41">
          <a:extLst>
            <a:ext uri="{FF2B5EF4-FFF2-40B4-BE49-F238E27FC236}">
              <a16:creationId xmlns:a16="http://schemas.microsoft.com/office/drawing/2014/main" id="{3193AA19-2DB3-4444-B515-7C33B13697F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68" name="Host Control  42">
          <a:extLst>
            <a:ext uri="{FF2B5EF4-FFF2-40B4-BE49-F238E27FC236}">
              <a16:creationId xmlns:a16="http://schemas.microsoft.com/office/drawing/2014/main" id="{6463F913-4D77-49AD-8341-3AB09BE0EB48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69" name="Host Control  44">
          <a:extLst>
            <a:ext uri="{FF2B5EF4-FFF2-40B4-BE49-F238E27FC236}">
              <a16:creationId xmlns:a16="http://schemas.microsoft.com/office/drawing/2014/main" id="{5DB03EB5-0943-42D1-861B-7631925C450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70" name="Host Control  45">
          <a:extLst>
            <a:ext uri="{FF2B5EF4-FFF2-40B4-BE49-F238E27FC236}">
              <a16:creationId xmlns:a16="http://schemas.microsoft.com/office/drawing/2014/main" id="{4588B493-9297-458D-BC9E-EEC045628F2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471" name="Host Control  46">
          <a:extLst>
            <a:ext uri="{FF2B5EF4-FFF2-40B4-BE49-F238E27FC236}">
              <a16:creationId xmlns:a16="http://schemas.microsoft.com/office/drawing/2014/main" id="{D114245D-3739-4E74-AA62-96F96171E9C7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72" name="Host Control  5">
          <a:extLst>
            <a:ext uri="{FF2B5EF4-FFF2-40B4-BE49-F238E27FC236}">
              <a16:creationId xmlns:a16="http://schemas.microsoft.com/office/drawing/2014/main" id="{4FB1E61D-B9C0-4F28-8662-045065B9098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73" name="Host Control  6">
          <a:extLst>
            <a:ext uri="{FF2B5EF4-FFF2-40B4-BE49-F238E27FC236}">
              <a16:creationId xmlns:a16="http://schemas.microsoft.com/office/drawing/2014/main" id="{8F987453-8D99-4400-9E72-7CEB571DDE3A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74" name="Host Control  7">
          <a:extLst>
            <a:ext uri="{FF2B5EF4-FFF2-40B4-BE49-F238E27FC236}">
              <a16:creationId xmlns:a16="http://schemas.microsoft.com/office/drawing/2014/main" id="{328F309F-E1C4-4451-9A0C-812646B0D864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75" name="Host Control  12">
          <a:extLst>
            <a:ext uri="{FF2B5EF4-FFF2-40B4-BE49-F238E27FC236}">
              <a16:creationId xmlns:a16="http://schemas.microsoft.com/office/drawing/2014/main" id="{177164CB-43F1-4956-AC76-99B3AA333F6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76" name="Host Control  13">
          <a:extLst>
            <a:ext uri="{FF2B5EF4-FFF2-40B4-BE49-F238E27FC236}">
              <a16:creationId xmlns:a16="http://schemas.microsoft.com/office/drawing/2014/main" id="{ACAAB8C0-332D-40F8-85F7-959971C61A12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77" name="Host Control  14">
          <a:extLst>
            <a:ext uri="{FF2B5EF4-FFF2-40B4-BE49-F238E27FC236}">
              <a16:creationId xmlns:a16="http://schemas.microsoft.com/office/drawing/2014/main" id="{00CBAC54-8D0D-40E1-A8DA-EB284ABDADDA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78" name="Host Control  16">
          <a:extLst>
            <a:ext uri="{FF2B5EF4-FFF2-40B4-BE49-F238E27FC236}">
              <a16:creationId xmlns:a16="http://schemas.microsoft.com/office/drawing/2014/main" id="{C5DBE49D-A3D2-48C9-A0A3-58B072B8743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79" name="Host Control  17">
          <a:extLst>
            <a:ext uri="{FF2B5EF4-FFF2-40B4-BE49-F238E27FC236}">
              <a16:creationId xmlns:a16="http://schemas.microsoft.com/office/drawing/2014/main" id="{320B2B7F-2C20-4824-8B24-8CC17D0C84DE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80" name="Host Control  18">
          <a:extLst>
            <a:ext uri="{FF2B5EF4-FFF2-40B4-BE49-F238E27FC236}">
              <a16:creationId xmlns:a16="http://schemas.microsoft.com/office/drawing/2014/main" id="{A35E6A4B-2049-4A36-B79E-FDB2A9E2D861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81" name="Host Control  20">
          <a:extLst>
            <a:ext uri="{FF2B5EF4-FFF2-40B4-BE49-F238E27FC236}">
              <a16:creationId xmlns:a16="http://schemas.microsoft.com/office/drawing/2014/main" id="{88B30EDB-679F-4C66-A8E2-6805B4C801C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82" name="Host Control  21">
          <a:extLst>
            <a:ext uri="{FF2B5EF4-FFF2-40B4-BE49-F238E27FC236}">
              <a16:creationId xmlns:a16="http://schemas.microsoft.com/office/drawing/2014/main" id="{BCB98F5A-F42F-4C41-AFCA-966DBA875860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83" name="Host Control  22">
          <a:extLst>
            <a:ext uri="{FF2B5EF4-FFF2-40B4-BE49-F238E27FC236}">
              <a16:creationId xmlns:a16="http://schemas.microsoft.com/office/drawing/2014/main" id="{3B2A1F1E-DEAD-4F48-868D-8DA22A43BB34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84" name="Host Control  24">
          <a:extLst>
            <a:ext uri="{FF2B5EF4-FFF2-40B4-BE49-F238E27FC236}">
              <a16:creationId xmlns:a16="http://schemas.microsoft.com/office/drawing/2014/main" id="{642C446C-1D65-417D-8AD9-B444E559788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85" name="Host Control  25">
          <a:extLst>
            <a:ext uri="{FF2B5EF4-FFF2-40B4-BE49-F238E27FC236}">
              <a16:creationId xmlns:a16="http://schemas.microsoft.com/office/drawing/2014/main" id="{C80A9BE2-C8B7-4BFC-A368-AF97C2EA517A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86" name="Host Control  26">
          <a:extLst>
            <a:ext uri="{FF2B5EF4-FFF2-40B4-BE49-F238E27FC236}">
              <a16:creationId xmlns:a16="http://schemas.microsoft.com/office/drawing/2014/main" id="{0666BE96-6AD3-4EBB-93DB-5058C9A94FAD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87" name="Host Control  28">
          <a:extLst>
            <a:ext uri="{FF2B5EF4-FFF2-40B4-BE49-F238E27FC236}">
              <a16:creationId xmlns:a16="http://schemas.microsoft.com/office/drawing/2014/main" id="{F3085F15-5AD9-4AB6-9FAD-D6333F6D712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88" name="Host Control  29">
          <a:extLst>
            <a:ext uri="{FF2B5EF4-FFF2-40B4-BE49-F238E27FC236}">
              <a16:creationId xmlns:a16="http://schemas.microsoft.com/office/drawing/2014/main" id="{6FBBF2B7-69EF-4D1D-8219-2E406654489B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89" name="Host Control  30">
          <a:extLst>
            <a:ext uri="{FF2B5EF4-FFF2-40B4-BE49-F238E27FC236}">
              <a16:creationId xmlns:a16="http://schemas.microsoft.com/office/drawing/2014/main" id="{1592043D-7E6A-4207-A285-1ABE4218D33A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90" name="Host Control  32">
          <a:extLst>
            <a:ext uri="{FF2B5EF4-FFF2-40B4-BE49-F238E27FC236}">
              <a16:creationId xmlns:a16="http://schemas.microsoft.com/office/drawing/2014/main" id="{0AF6173B-9858-4FC7-9A9E-A43BDBB12F5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91" name="Host Control  33">
          <a:extLst>
            <a:ext uri="{FF2B5EF4-FFF2-40B4-BE49-F238E27FC236}">
              <a16:creationId xmlns:a16="http://schemas.microsoft.com/office/drawing/2014/main" id="{81753DA0-DC59-4041-B8A4-3B703A193E78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92" name="Host Control  34">
          <a:extLst>
            <a:ext uri="{FF2B5EF4-FFF2-40B4-BE49-F238E27FC236}">
              <a16:creationId xmlns:a16="http://schemas.microsoft.com/office/drawing/2014/main" id="{AED54004-B3C3-4879-9F68-8F716FC639C0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93" name="Host Control  36">
          <a:extLst>
            <a:ext uri="{FF2B5EF4-FFF2-40B4-BE49-F238E27FC236}">
              <a16:creationId xmlns:a16="http://schemas.microsoft.com/office/drawing/2014/main" id="{52FA598F-EB95-44C9-A41B-12C6242E706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94" name="Host Control  37">
          <a:extLst>
            <a:ext uri="{FF2B5EF4-FFF2-40B4-BE49-F238E27FC236}">
              <a16:creationId xmlns:a16="http://schemas.microsoft.com/office/drawing/2014/main" id="{22E3F31B-392C-4A1E-BA5B-699E9E90B01F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95" name="Host Control  38">
          <a:extLst>
            <a:ext uri="{FF2B5EF4-FFF2-40B4-BE49-F238E27FC236}">
              <a16:creationId xmlns:a16="http://schemas.microsoft.com/office/drawing/2014/main" id="{33778648-989E-4941-8A42-6234E8EEF66D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96" name="Host Control  40">
          <a:extLst>
            <a:ext uri="{FF2B5EF4-FFF2-40B4-BE49-F238E27FC236}">
              <a16:creationId xmlns:a16="http://schemas.microsoft.com/office/drawing/2014/main" id="{11F564BD-D0AB-459C-9CC1-02946CD3930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497" name="Host Control  41">
          <a:extLst>
            <a:ext uri="{FF2B5EF4-FFF2-40B4-BE49-F238E27FC236}">
              <a16:creationId xmlns:a16="http://schemas.microsoft.com/office/drawing/2014/main" id="{6207C7DD-CAD7-4B85-99F8-1A47C191F011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498" name="Host Control  42">
          <a:extLst>
            <a:ext uri="{FF2B5EF4-FFF2-40B4-BE49-F238E27FC236}">
              <a16:creationId xmlns:a16="http://schemas.microsoft.com/office/drawing/2014/main" id="{97A7F7D2-2EC9-4A3E-98FD-87B353EDB0AB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499" name="Host Control  44">
          <a:extLst>
            <a:ext uri="{FF2B5EF4-FFF2-40B4-BE49-F238E27FC236}">
              <a16:creationId xmlns:a16="http://schemas.microsoft.com/office/drawing/2014/main" id="{2AD3A738-6FF2-4B38-942E-73DB96D97F7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00" name="Host Control  45">
          <a:extLst>
            <a:ext uri="{FF2B5EF4-FFF2-40B4-BE49-F238E27FC236}">
              <a16:creationId xmlns:a16="http://schemas.microsoft.com/office/drawing/2014/main" id="{11BCAFE9-C836-4649-AE97-92FFC47E11AB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501" name="Host Control  46">
          <a:extLst>
            <a:ext uri="{FF2B5EF4-FFF2-40B4-BE49-F238E27FC236}">
              <a16:creationId xmlns:a16="http://schemas.microsoft.com/office/drawing/2014/main" id="{3D6DDC2D-4D37-45B4-8374-AA09BBD51EE2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02" name="Host Control  5">
          <a:extLst>
            <a:ext uri="{FF2B5EF4-FFF2-40B4-BE49-F238E27FC236}">
              <a16:creationId xmlns:a16="http://schemas.microsoft.com/office/drawing/2014/main" id="{F357487D-8D7D-4BC3-ADA0-7F9DAA53FF0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03" name="Host Control  6">
          <a:extLst>
            <a:ext uri="{FF2B5EF4-FFF2-40B4-BE49-F238E27FC236}">
              <a16:creationId xmlns:a16="http://schemas.microsoft.com/office/drawing/2014/main" id="{B9C13A9B-3DAA-4A2B-ADA6-45F8AC06F43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04" name="Host Control  7">
          <a:extLst>
            <a:ext uri="{FF2B5EF4-FFF2-40B4-BE49-F238E27FC236}">
              <a16:creationId xmlns:a16="http://schemas.microsoft.com/office/drawing/2014/main" id="{DC93A174-F776-437D-BBD3-BA5910C927F4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05" name="Host Control  12">
          <a:extLst>
            <a:ext uri="{FF2B5EF4-FFF2-40B4-BE49-F238E27FC236}">
              <a16:creationId xmlns:a16="http://schemas.microsoft.com/office/drawing/2014/main" id="{6AEA09AD-730F-480A-86A9-770F3B8CC60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06" name="Host Control  13">
          <a:extLst>
            <a:ext uri="{FF2B5EF4-FFF2-40B4-BE49-F238E27FC236}">
              <a16:creationId xmlns:a16="http://schemas.microsoft.com/office/drawing/2014/main" id="{BDF18FDF-FDA8-4969-86C4-AABDC177762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07" name="Host Control  14">
          <a:extLst>
            <a:ext uri="{FF2B5EF4-FFF2-40B4-BE49-F238E27FC236}">
              <a16:creationId xmlns:a16="http://schemas.microsoft.com/office/drawing/2014/main" id="{87CBDE8A-79EA-4668-9F9A-A02F205C85E0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08" name="Host Control  16">
          <a:extLst>
            <a:ext uri="{FF2B5EF4-FFF2-40B4-BE49-F238E27FC236}">
              <a16:creationId xmlns:a16="http://schemas.microsoft.com/office/drawing/2014/main" id="{2E8196A3-35D2-4EAF-A81B-6EBC9C8FD7F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09" name="Host Control  17">
          <a:extLst>
            <a:ext uri="{FF2B5EF4-FFF2-40B4-BE49-F238E27FC236}">
              <a16:creationId xmlns:a16="http://schemas.microsoft.com/office/drawing/2014/main" id="{8CFBA1F9-6DE7-4AB2-8C8C-763AC41CD50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10" name="Host Control  18">
          <a:extLst>
            <a:ext uri="{FF2B5EF4-FFF2-40B4-BE49-F238E27FC236}">
              <a16:creationId xmlns:a16="http://schemas.microsoft.com/office/drawing/2014/main" id="{107CD766-0B53-4DAF-9E6A-FAC710894EE4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11" name="Host Control  20">
          <a:extLst>
            <a:ext uri="{FF2B5EF4-FFF2-40B4-BE49-F238E27FC236}">
              <a16:creationId xmlns:a16="http://schemas.microsoft.com/office/drawing/2014/main" id="{A4031098-FEC1-40FF-A4EA-6097ACEFFCD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12" name="Host Control  21">
          <a:extLst>
            <a:ext uri="{FF2B5EF4-FFF2-40B4-BE49-F238E27FC236}">
              <a16:creationId xmlns:a16="http://schemas.microsoft.com/office/drawing/2014/main" id="{5CB1A2C8-AE71-4D1D-9C8A-F40FBF4A8B3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13" name="Host Control  22">
          <a:extLst>
            <a:ext uri="{FF2B5EF4-FFF2-40B4-BE49-F238E27FC236}">
              <a16:creationId xmlns:a16="http://schemas.microsoft.com/office/drawing/2014/main" id="{C4132947-6212-492C-9676-6A06FB62A1D6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14" name="Host Control  24">
          <a:extLst>
            <a:ext uri="{FF2B5EF4-FFF2-40B4-BE49-F238E27FC236}">
              <a16:creationId xmlns:a16="http://schemas.microsoft.com/office/drawing/2014/main" id="{48E727F5-5FDF-489D-8110-43D1DA4D91E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15" name="Host Control  25">
          <a:extLst>
            <a:ext uri="{FF2B5EF4-FFF2-40B4-BE49-F238E27FC236}">
              <a16:creationId xmlns:a16="http://schemas.microsoft.com/office/drawing/2014/main" id="{EDAC50FC-2AAC-4ADC-8886-8660D792F62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16" name="Host Control  26">
          <a:extLst>
            <a:ext uri="{FF2B5EF4-FFF2-40B4-BE49-F238E27FC236}">
              <a16:creationId xmlns:a16="http://schemas.microsoft.com/office/drawing/2014/main" id="{DD544260-03A7-467D-98E9-E46D5CA2AEB0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17" name="Host Control  28">
          <a:extLst>
            <a:ext uri="{FF2B5EF4-FFF2-40B4-BE49-F238E27FC236}">
              <a16:creationId xmlns:a16="http://schemas.microsoft.com/office/drawing/2014/main" id="{48B96FFC-F9BF-4E55-8AEE-8949806CED9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18" name="Host Control  29">
          <a:extLst>
            <a:ext uri="{FF2B5EF4-FFF2-40B4-BE49-F238E27FC236}">
              <a16:creationId xmlns:a16="http://schemas.microsoft.com/office/drawing/2014/main" id="{A09986D3-69E9-423D-8E30-A1D445BF1F6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19" name="Host Control  30">
          <a:extLst>
            <a:ext uri="{FF2B5EF4-FFF2-40B4-BE49-F238E27FC236}">
              <a16:creationId xmlns:a16="http://schemas.microsoft.com/office/drawing/2014/main" id="{D81BC91B-C375-442D-BF92-633F128B7098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20" name="Host Control  32">
          <a:extLst>
            <a:ext uri="{FF2B5EF4-FFF2-40B4-BE49-F238E27FC236}">
              <a16:creationId xmlns:a16="http://schemas.microsoft.com/office/drawing/2014/main" id="{B9E0FF87-ECD1-41CC-A580-0223754E098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21" name="Host Control  33">
          <a:extLst>
            <a:ext uri="{FF2B5EF4-FFF2-40B4-BE49-F238E27FC236}">
              <a16:creationId xmlns:a16="http://schemas.microsoft.com/office/drawing/2014/main" id="{5C2C6BD0-DCE0-42D1-94F1-04D126DAA36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22" name="Host Control  34">
          <a:extLst>
            <a:ext uri="{FF2B5EF4-FFF2-40B4-BE49-F238E27FC236}">
              <a16:creationId xmlns:a16="http://schemas.microsoft.com/office/drawing/2014/main" id="{096C1136-4502-4D19-9B1C-80CB0E00DDA0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23" name="Host Control  36">
          <a:extLst>
            <a:ext uri="{FF2B5EF4-FFF2-40B4-BE49-F238E27FC236}">
              <a16:creationId xmlns:a16="http://schemas.microsoft.com/office/drawing/2014/main" id="{2868020D-DB00-412B-85B0-571A4460A68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24" name="Host Control  37">
          <a:extLst>
            <a:ext uri="{FF2B5EF4-FFF2-40B4-BE49-F238E27FC236}">
              <a16:creationId xmlns:a16="http://schemas.microsoft.com/office/drawing/2014/main" id="{E797E11E-DE02-49F9-B96D-7620A9F50BA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25" name="Host Control  38">
          <a:extLst>
            <a:ext uri="{FF2B5EF4-FFF2-40B4-BE49-F238E27FC236}">
              <a16:creationId xmlns:a16="http://schemas.microsoft.com/office/drawing/2014/main" id="{39960516-82C7-4FCF-9AC1-8218529B416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26" name="Host Control  40">
          <a:extLst>
            <a:ext uri="{FF2B5EF4-FFF2-40B4-BE49-F238E27FC236}">
              <a16:creationId xmlns:a16="http://schemas.microsoft.com/office/drawing/2014/main" id="{821C464B-0393-45FA-B737-D98197CAD55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27" name="Host Control  41">
          <a:extLst>
            <a:ext uri="{FF2B5EF4-FFF2-40B4-BE49-F238E27FC236}">
              <a16:creationId xmlns:a16="http://schemas.microsoft.com/office/drawing/2014/main" id="{806BC79D-5498-4299-8AFB-93723C86E52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28" name="Host Control  42">
          <a:extLst>
            <a:ext uri="{FF2B5EF4-FFF2-40B4-BE49-F238E27FC236}">
              <a16:creationId xmlns:a16="http://schemas.microsoft.com/office/drawing/2014/main" id="{502DB8F7-2B9D-4362-A7E7-CF170E891645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29" name="Host Control  44">
          <a:extLst>
            <a:ext uri="{FF2B5EF4-FFF2-40B4-BE49-F238E27FC236}">
              <a16:creationId xmlns:a16="http://schemas.microsoft.com/office/drawing/2014/main" id="{0EC34CA1-E3E0-446C-B580-43121C6BCA4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30" name="Host Control  45">
          <a:extLst>
            <a:ext uri="{FF2B5EF4-FFF2-40B4-BE49-F238E27FC236}">
              <a16:creationId xmlns:a16="http://schemas.microsoft.com/office/drawing/2014/main" id="{CA1D025C-85CA-481C-A362-451D35E08E6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31" name="Host Control  46">
          <a:extLst>
            <a:ext uri="{FF2B5EF4-FFF2-40B4-BE49-F238E27FC236}">
              <a16:creationId xmlns:a16="http://schemas.microsoft.com/office/drawing/2014/main" id="{6EC127D4-8D1A-4773-B4DE-5D94749D63FB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32" name="Host Control  5">
          <a:extLst>
            <a:ext uri="{FF2B5EF4-FFF2-40B4-BE49-F238E27FC236}">
              <a16:creationId xmlns:a16="http://schemas.microsoft.com/office/drawing/2014/main" id="{CA572F94-C213-40E9-B833-A1991B7BC26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33" name="Host Control  6">
          <a:extLst>
            <a:ext uri="{FF2B5EF4-FFF2-40B4-BE49-F238E27FC236}">
              <a16:creationId xmlns:a16="http://schemas.microsoft.com/office/drawing/2014/main" id="{3FB090A7-5445-450B-B104-DC2A63CA91EC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534" name="Host Control  7">
          <a:extLst>
            <a:ext uri="{FF2B5EF4-FFF2-40B4-BE49-F238E27FC236}">
              <a16:creationId xmlns:a16="http://schemas.microsoft.com/office/drawing/2014/main" id="{82AE33E9-CC10-4EE0-AC01-864B0BEA578A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35" name="Host Control  12">
          <a:extLst>
            <a:ext uri="{FF2B5EF4-FFF2-40B4-BE49-F238E27FC236}">
              <a16:creationId xmlns:a16="http://schemas.microsoft.com/office/drawing/2014/main" id="{1B38735B-3403-4A9D-8939-CF22E591630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36" name="Host Control  13">
          <a:extLst>
            <a:ext uri="{FF2B5EF4-FFF2-40B4-BE49-F238E27FC236}">
              <a16:creationId xmlns:a16="http://schemas.microsoft.com/office/drawing/2014/main" id="{5808A357-BE28-49D7-A162-2321C2D02B49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537" name="Host Control  14">
          <a:extLst>
            <a:ext uri="{FF2B5EF4-FFF2-40B4-BE49-F238E27FC236}">
              <a16:creationId xmlns:a16="http://schemas.microsoft.com/office/drawing/2014/main" id="{634221DE-43AD-499F-970B-F66FD5C56AB9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38" name="Host Control  16">
          <a:extLst>
            <a:ext uri="{FF2B5EF4-FFF2-40B4-BE49-F238E27FC236}">
              <a16:creationId xmlns:a16="http://schemas.microsoft.com/office/drawing/2014/main" id="{5F2079EA-BCC8-4A93-B6F2-F38471A553B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39" name="Host Control  17">
          <a:extLst>
            <a:ext uri="{FF2B5EF4-FFF2-40B4-BE49-F238E27FC236}">
              <a16:creationId xmlns:a16="http://schemas.microsoft.com/office/drawing/2014/main" id="{6C9481DF-1456-412B-B80F-25FA3B9379B8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540" name="Host Control  18">
          <a:extLst>
            <a:ext uri="{FF2B5EF4-FFF2-40B4-BE49-F238E27FC236}">
              <a16:creationId xmlns:a16="http://schemas.microsoft.com/office/drawing/2014/main" id="{A6319DE4-3FAA-458B-951F-E6AD0D080DEB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41" name="Host Control  20">
          <a:extLst>
            <a:ext uri="{FF2B5EF4-FFF2-40B4-BE49-F238E27FC236}">
              <a16:creationId xmlns:a16="http://schemas.microsoft.com/office/drawing/2014/main" id="{995F4842-8A67-463C-9B13-3699EF23179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42" name="Host Control  21">
          <a:extLst>
            <a:ext uri="{FF2B5EF4-FFF2-40B4-BE49-F238E27FC236}">
              <a16:creationId xmlns:a16="http://schemas.microsoft.com/office/drawing/2014/main" id="{2D46487A-C3D8-49DC-A5A8-B1D68271332D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543" name="Host Control  22">
          <a:extLst>
            <a:ext uri="{FF2B5EF4-FFF2-40B4-BE49-F238E27FC236}">
              <a16:creationId xmlns:a16="http://schemas.microsoft.com/office/drawing/2014/main" id="{E0AD6390-AAB9-4722-A857-221A3B8EDD27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44" name="Host Control  24">
          <a:extLst>
            <a:ext uri="{FF2B5EF4-FFF2-40B4-BE49-F238E27FC236}">
              <a16:creationId xmlns:a16="http://schemas.microsoft.com/office/drawing/2014/main" id="{01B96B2C-9D54-42CC-9F2B-E78C4D2E2CF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45" name="Host Control  25">
          <a:extLst>
            <a:ext uri="{FF2B5EF4-FFF2-40B4-BE49-F238E27FC236}">
              <a16:creationId xmlns:a16="http://schemas.microsoft.com/office/drawing/2014/main" id="{4C387E8F-DACC-4791-821D-A63FE30BAA24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546" name="Host Control  26">
          <a:extLst>
            <a:ext uri="{FF2B5EF4-FFF2-40B4-BE49-F238E27FC236}">
              <a16:creationId xmlns:a16="http://schemas.microsoft.com/office/drawing/2014/main" id="{81EE0DA8-B11D-4B4B-AE00-8EF00AF3D851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47" name="Host Control  28">
          <a:extLst>
            <a:ext uri="{FF2B5EF4-FFF2-40B4-BE49-F238E27FC236}">
              <a16:creationId xmlns:a16="http://schemas.microsoft.com/office/drawing/2014/main" id="{7BA44035-297E-43A3-95AF-062E05880B5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48" name="Host Control  29">
          <a:extLst>
            <a:ext uri="{FF2B5EF4-FFF2-40B4-BE49-F238E27FC236}">
              <a16:creationId xmlns:a16="http://schemas.microsoft.com/office/drawing/2014/main" id="{7A24902D-F061-4786-BA90-A0B165BB2063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549" name="Host Control  30">
          <a:extLst>
            <a:ext uri="{FF2B5EF4-FFF2-40B4-BE49-F238E27FC236}">
              <a16:creationId xmlns:a16="http://schemas.microsoft.com/office/drawing/2014/main" id="{372994BE-0ADF-41C5-B06B-A104D7082CBE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50" name="Host Control  32">
          <a:extLst>
            <a:ext uri="{FF2B5EF4-FFF2-40B4-BE49-F238E27FC236}">
              <a16:creationId xmlns:a16="http://schemas.microsoft.com/office/drawing/2014/main" id="{27F377B1-C97C-481C-A9B3-22D4824FF39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51" name="Host Control  33">
          <a:extLst>
            <a:ext uri="{FF2B5EF4-FFF2-40B4-BE49-F238E27FC236}">
              <a16:creationId xmlns:a16="http://schemas.microsoft.com/office/drawing/2014/main" id="{5B0A5910-ECB8-4577-95A0-206B2D4C4FE9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552" name="Host Control  34">
          <a:extLst>
            <a:ext uri="{FF2B5EF4-FFF2-40B4-BE49-F238E27FC236}">
              <a16:creationId xmlns:a16="http://schemas.microsoft.com/office/drawing/2014/main" id="{F607DD10-D399-4687-B4B1-7B3EFC755A19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53" name="Host Control  36">
          <a:extLst>
            <a:ext uri="{FF2B5EF4-FFF2-40B4-BE49-F238E27FC236}">
              <a16:creationId xmlns:a16="http://schemas.microsoft.com/office/drawing/2014/main" id="{EB56D147-F71F-460E-B74C-BDEF8443F36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54" name="Host Control  37">
          <a:extLst>
            <a:ext uri="{FF2B5EF4-FFF2-40B4-BE49-F238E27FC236}">
              <a16:creationId xmlns:a16="http://schemas.microsoft.com/office/drawing/2014/main" id="{1C1596C6-44DF-44AF-98C2-885B6DE94614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555" name="Host Control  38">
          <a:extLst>
            <a:ext uri="{FF2B5EF4-FFF2-40B4-BE49-F238E27FC236}">
              <a16:creationId xmlns:a16="http://schemas.microsoft.com/office/drawing/2014/main" id="{8E3062DD-4E6C-4F9D-BAE7-4C20B47A5AB6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56" name="Host Control  40">
          <a:extLst>
            <a:ext uri="{FF2B5EF4-FFF2-40B4-BE49-F238E27FC236}">
              <a16:creationId xmlns:a16="http://schemas.microsoft.com/office/drawing/2014/main" id="{94995131-E787-448E-B30B-1289990014C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57" name="Host Control  41">
          <a:extLst>
            <a:ext uri="{FF2B5EF4-FFF2-40B4-BE49-F238E27FC236}">
              <a16:creationId xmlns:a16="http://schemas.microsoft.com/office/drawing/2014/main" id="{799E52A1-249F-4172-96CF-B48969B845DA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558" name="Host Control  42">
          <a:extLst>
            <a:ext uri="{FF2B5EF4-FFF2-40B4-BE49-F238E27FC236}">
              <a16:creationId xmlns:a16="http://schemas.microsoft.com/office/drawing/2014/main" id="{A86AB6E9-F478-4B8F-87BD-D3E4A426CE84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59" name="Host Control  44">
          <a:extLst>
            <a:ext uri="{FF2B5EF4-FFF2-40B4-BE49-F238E27FC236}">
              <a16:creationId xmlns:a16="http://schemas.microsoft.com/office/drawing/2014/main" id="{96E3E401-62CF-4784-9C1B-0FE023F055D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60" name="Host Control  45">
          <a:extLst>
            <a:ext uri="{FF2B5EF4-FFF2-40B4-BE49-F238E27FC236}">
              <a16:creationId xmlns:a16="http://schemas.microsoft.com/office/drawing/2014/main" id="{0FE1D4D7-89C4-4994-A875-4E03ABD7D9EC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561" name="Host Control  46">
          <a:extLst>
            <a:ext uri="{FF2B5EF4-FFF2-40B4-BE49-F238E27FC236}">
              <a16:creationId xmlns:a16="http://schemas.microsoft.com/office/drawing/2014/main" id="{6F0840A3-899A-46D0-A94E-1118EE3AC741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62" name="Host Control  5">
          <a:extLst>
            <a:ext uri="{FF2B5EF4-FFF2-40B4-BE49-F238E27FC236}">
              <a16:creationId xmlns:a16="http://schemas.microsoft.com/office/drawing/2014/main" id="{F5FA67AD-6834-4AD8-9CEF-CEDDBCFB8231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63" name="Host Control  6">
          <a:extLst>
            <a:ext uri="{FF2B5EF4-FFF2-40B4-BE49-F238E27FC236}">
              <a16:creationId xmlns:a16="http://schemas.microsoft.com/office/drawing/2014/main" id="{44036538-C573-4410-9D13-02842F421DE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64" name="Host Control  7">
          <a:extLst>
            <a:ext uri="{FF2B5EF4-FFF2-40B4-BE49-F238E27FC236}">
              <a16:creationId xmlns:a16="http://schemas.microsoft.com/office/drawing/2014/main" id="{9375F518-A6C9-4652-AD0C-E8F81DDAB951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65" name="Host Control  12">
          <a:extLst>
            <a:ext uri="{FF2B5EF4-FFF2-40B4-BE49-F238E27FC236}">
              <a16:creationId xmlns:a16="http://schemas.microsoft.com/office/drawing/2014/main" id="{50C4AA02-8183-49CC-91FF-B1867FE4785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66" name="Host Control  13">
          <a:extLst>
            <a:ext uri="{FF2B5EF4-FFF2-40B4-BE49-F238E27FC236}">
              <a16:creationId xmlns:a16="http://schemas.microsoft.com/office/drawing/2014/main" id="{500C9CC2-037D-4594-ACE0-9DD3952E442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67" name="Host Control  14">
          <a:extLst>
            <a:ext uri="{FF2B5EF4-FFF2-40B4-BE49-F238E27FC236}">
              <a16:creationId xmlns:a16="http://schemas.microsoft.com/office/drawing/2014/main" id="{554F42FA-E9E1-42E3-9322-E6C32DAA90A3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68" name="Host Control  16">
          <a:extLst>
            <a:ext uri="{FF2B5EF4-FFF2-40B4-BE49-F238E27FC236}">
              <a16:creationId xmlns:a16="http://schemas.microsoft.com/office/drawing/2014/main" id="{17456D27-B1DF-4A4F-8B83-A693C81F90D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69" name="Host Control  17">
          <a:extLst>
            <a:ext uri="{FF2B5EF4-FFF2-40B4-BE49-F238E27FC236}">
              <a16:creationId xmlns:a16="http://schemas.microsoft.com/office/drawing/2014/main" id="{757A33BC-35BB-4496-B3B5-27AEC46CE7E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70" name="Host Control  18">
          <a:extLst>
            <a:ext uri="{FF2B5EF4-FFF2-40B4-BE49-F238E27FC236}">
              <a16:creationId xmlns:a16="http://schemas.microsoft.com/office/drawing/2014/main" id="{C86E6F32-1298-4A7C-8944-1705E9836CE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71" name="Host Control  20">
          <a:extLst>
            <a:ext uri="{FF2B5EF4-FFF2-40B4-BE49-F238E27FC236}">
              <a16:creationId xmlns:a16="http://schemas.microsoft.com/office/drawing/2014/main" id="{A9D5FBD8-9F06-4D2D-951A-D14A0580873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72" name="Host Control  21">
          <a:extLst>
            <a:ext uri="{FF2B5EF4-FFF2-40B4-BE49-F238E27FC236}">
              <a16:creationId xmlns:a16="http://schemas.microsoft.com/office/drawing/2014/main" id="{2B76F440-8968-48C3-BC5B-AB4CDDA00D2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73" name="Host Control  22">
          <a:extLst>
            <a:ext uri="{FF2B5EF4-FFF2-40B4-BE49-F238E27FC236}">
              <a16:creationId xmlns:a16="http://schemas.microsoft.com/office/drawing/2014/main" id="{5C64BABD-00E1-4C4B-B4E0-57B3B91824F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74" name="Host Control  24">
          <a:extLst>
            <a:ext uri="{FF2B5EF4-FFF2-40B4-BE49-F238E27FC236}">
              <a16:creationId xmlns:a16="http://schemas.microsoft.com/office/drawing/2014/main" id="{A18CC257-9969-4BF8-8FAF-F9CDA811D3D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75" name="Host Control  25">
          <a:extLst>
            <a:ext uri="{FF2B5EF4-FFF2-40B4-BE49-F238E27FC236}">
              <a16:creationId xmlns:a16="http://schemas.microsoft.com/office/drawing/2014/main" id="{6F5B8CA8-1372-49D9-A68F-F6C17620E86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76" name="Host Control  26">
          <a:extLst>
            <a:ext uri="{FF2B5EF4-FFF2-40B4-BE49-F238E27FC236}">
              <a16:creationId xmlns:a16="http://schemas.microsoft.com/office/drawing/2014/main" id="{A23DFF1E-18EC-4B8F-8A57-D4C02AAA74DB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77" name="Host Control  28">
          <a:extLst>
            <a:ext uri="{FF2B5EF4-FFF2-40B4-BE49-F238E27FC236}">
              <a16:creationId xmlns:a16="http://schemas.microsoft.com/office/drawing/2014/main" id="{06EC3975-EB32-4F3A-ABE4-7B305253BED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78" name="Host Control  29">
          <a:extLst>
            <a:ext uri="{FF2B5EF4-FFF2-40B4-BE49-F238E27FC236}">
              <a16:creationId xmlns:a16="http://schemas.microsoft.com/office/drawing/2014/main" id="{BA46DAF1-DCBD-452E-ACEB-942CB0C74AA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79" name="Host Control  30">
          <a:extLst>
            <a:ext uri="{FF2B5EF4-FFF2-40B4-BE49-F238E27FC236}">
              <a16:creationId xmlns:a16="http://schemas.microsoft.com/office/drawing/2014/main" id="{00740203-43DF-4AEA-91D2-FBF86390E61C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80" name="Host Control  32">
          <a:extLst>
            <a:ext uri="{FF2B5EF4-FFF2-40B4-BE49-F238E27FC236}">
              <a16:creationId xmlns:a16="http://schemas.microsoft.com/office/drawing/2014/main" id="{4F49B73F-D6B2-40BE-B6A4-4581E714072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81" name="Host Control  33">
          <a:extLst>
            <a:ext uri="{FF2B5EF4-FFF2-40B4-BE49-F238E27FC236}">
              <a16:creationId xmlns:a16="http://schemas.microsoft.com/office/drawing/2014/main" id="{AAC28A56-8815-4765-ACC6-DF74D0B0512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82" name="Host Control  34">
          <a:extLst>
            <a:ext uri="{FF2B5EF4-FFF2-40B4-BE49-F238E27FC236}">
              <a16:creationId xmlns:a16="http://schemas.microsoft.com/office/drawing/2014/main" id="{19332230-C8C5-4F70-832D-9A2C3EA4DD52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83" name="Host Control  36">
          <a:extLst>
            <a:ext uri="{FF2B5EF4-FFF2-40B4-BE49-F238E27FC236}">
              <a16:creationId xmlns:a16="http://schemas.microsoft.com/office/drawing/2014/main" id="{C6AC7B45-6507-46DE-97D1-84C40FE76DD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84" name="Host Control  37">
          <a:extLst>
            <a:ext uri="{FF2B5EF4-FFF2-40B4-BE49-F238E27FC236}">
              <a16:creationId xmlns:a16="http://schemas.microsoft.com/office/drawing/2014/main" id="{FE64233C-61DD-40A2-A848-735F5E1F6C5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85" name="Host Control  38">
          <a:extLst>
            <a:ext uri="{FF2B5EF4-FFF2-40B4-BE49-F238E27FC236}">
              <a16:creationId xmlns:a16="http://schemas.microsoft.com/office/drawing/2014/main" id="{E534FC70-F37C-4A93-B82B-FEC4CB2F283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86" name="Host Control  40">
          <a:extLst>
            <a:ext uri="{FF2B5EF4-FFF2-40B4-BE49-F238E27FC236}">
              <a16:creationId xmlns:a16="http://schemas.microsoft.com/office/drawing/2014/main" id="{17A4DBC2-E6B0-41B8-972B-825B11BFDC6B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87" name="Host Control  41">
          <a:extLst>
            <a:ext uri="{FF2B5EF4-FFF2-40B4-BE49-F238E27FC236}">
              <a16:creationId xmlns:a16="http://schemas.microsoft.com/office/drawing/2014/main" id="{A8126CD9-F34A-4125-A24F-CC637A4D9F0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88" name="Host Control  42">
          <a:extLst>
            <a:ext uri="{FF2B5EF4-FFF2-40B4-BE49-F238E27FC236}">
              <a16:creationId xmlns:a16="http://schemas.microsoft.com/office/drawing/2014/main" id="{A48453D7-1C28-4A6E-BC3C-224BCDD9FE25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89" name="Host Control  44">
          <a:extLst>
            <a:ext uri="{FF2B5EF4-FFF2-40B4-BE49-F238E27FC236}">
              <a16:creationId xmlns:a16="http://schemas.microsoft.com/office/drawing/2014/main" id="{D19AA978-EC96-43B1-B78D-201EC1CE5AB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90" name="Host Control  45">
          <a:extLst>
            <a:ext uri="{FF2B5EF4-FFF2-40B4-BE49-F238E27FC236}">
              <a16:creationId xmlns:a16="http://schemas.microsoft.com/office/drawing/2014/main" id="{0DAA2D60-7EC3-4D79-A53D-D49D57EF357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591" name="Host Control  46">
          <a:extLst>
            <a:ext uri="{FF2B5EF4-FFF2-40B4-BE49-F238E27FC236}">
              <a16:creationId xmlns:a16="http://schemas.microsoft.com/office/drawing/2014/main" id="{88624751-3240-4AF7-8066-C8DCB46E9B0E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92" name="Host Control  5">
          <a:extLst>
            <a:ext uri="{FF2B5EF4-FFF2-40B4-BE49-F238E27FC236}">
              <a16:creationId xmlns:a16="http://schemas.microsoft.com/office/drawing/2014/main" id="{15286039-27D4-4772-AE5A-2F02B016835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93" name="Host Control  6">
          <a:extLst>
            <a:ext uri="{FF2B5EF4-FFF2-40B4-BE49-F238E27FC236}">
              <a16:creationId xmlns:a16="http://schemas.microsoft.com/office/drawing/2014/main" id="{594D2A2D-3C32-4F07-BDC0-BF8D33DBF1AE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594" name="Host Control  7">
          <a:extLst>
            <a:ext uri="{FF2B5EF4-FFF2-40B4-BE49-F238E27FC236}">
              <a16:creationId xmlns:a16="http://schemas.microsoft.com/office/drawing/2014/main" id="{EA61CB84-1F21-4A54-A9A8-9EF802EA1B41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95" name="Host Control  12">
          <a:extLst>
            <a:ext uri="{FF2B5EF4-FFF2-40B4-BE49-F238E27FC236}">
              <a16:creationId xmlns:a16="http://schemas.microsoft.com/office/drawing/2014/main" id="{725058CB-C59E-4A61-BBD2-370711814AA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96" name="Host Control  13">
          <a:extLst>
            <a:ext uri="{FF2B5EF4-FFF2-40B4-BE49-F238E27FC236}">
              <a16:creationId xmlns:a16="http://schemas.microsoft.com/office/drawing/2014/main" id="{859B6218-06FB-48BB-AF71-94033685BBC6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597" name="Host Control  14">
          <a:extLst>
            <a:ext uri="{FF2B5EF4-FFF2-40B4-BE49-F238E27FC236}">
              <a16:creationId xmlns:a16="http://schemas.microsoft.com/office/drawing/2014/main" id="{EAA365C4-23B3-49CD-B25B-960E4F84A2D6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598" name="Host Control  16">
          <a:extLst>
            <a:ext uri="{FF2B5EF4-FFF2-40B4-BE49-F238E27FC236}">
              <a16:creationId xmlns:a16="http://schemas.microsoft.com/office/drawing/2014/main" id="{230E1E75-F9B7-47EC-9D06-1B7C5D67C99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599" name="Host Control  17">
          <a:extLst>
            <a:ext uri="{FF2B5EF4-FFF2-40B4-BE49-F238E27FC236}">
              <a16:creationId xmlns:a16="http://schemas.microsoft.com/office/drawing/2014/main" id="{3D0C5BE0-8710-4982-A805-60DA169E3020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00" name="Host Control  18">
          <a:extLst>
            <a:ext uri="{FF2B5EF4-FFF2-40B4-BE49-F238E27FC236}">
              <a16:creationId xmlns:a16="http://schemas.microsoft.com/office/drawing/2014/main" id="{477AABAE-7944-4FEB-A4CD-C069FC16D13D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01" name="Host Control  20">
          <a:extLst>
            <a:ext uri="{FF2B5EF4-FFF2-40B4-BE49-F238E27FC236}">
              <a16:creationId xmlns:a16="http://schemas.microsoft.com/office/drawing/2014/main" id="{2C977CB2-28F4-48C7-A3C4-4A8808D2C56D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02" name="Host Control  21">
          <a:extLst>
            <a:ext uri="{FF2B5EF4-FFF2-40B4-BE49-F238E27FC236}">
              <a16:creationId xmlns:a16="http://schemas.microsoft.com/office/drawing/2014/main" id="{1C82585F-F3D4-4549-8348-6346FBDAEE66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03" name="Host Control  22">
          <a:extLst>
            <a:ext uri="{FF2B5EF4-FFF2-40B4-BE49-F238E27FC236}">
              <a16:creationId xmlns:a16="http://schemas.microsoft.com/office/drawing/2014/main" id="{78FEC544-EA47-4FAD-97FE-B22C4CF3334D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04" name="Host Control  24">
          <a:extLst>
            <a:ext uri="{FF2B5EF4-FFF2-40B4-BE49-F238E27FC236}">
              <a16:creationId xmlns:a16="http://schemas.microsoft.com/office/drawing/2014/main" id="{552593FD-E501-4D2B-85DC-93E7251947D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05" name="Host Control  25">
          <a:extLst>
            <a:ext uri="{FF2B5EF4-FFF2-40B4-BE49-F238E27FC236}">
              <a16:creationId xmlns:a16="http://schemas.microsoft.com/office/drawing/2014/main" id="{DE48A13D-91FE-4ABF-802E-646A467F48FD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06" name="Host Control  26">
          <a:extLst>
            <a:ext uri="{FF2B5EF4-FFF2-40B4-BE49-F238E27FC236}">
              <a16:creationId xmlns:a16="http://schemas.microsoft.com/office/drawing/2014/main" id="{70B422AC-E052-4AA7-BC1E-7ADE405D526E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07" name="Host Control  28">
          <a:extLst>
            <a:ext uri="{FF2B5EF4-FFF2-40B4-BE49-F238E27FC236}">
              <a16:creationId xmlns:a16="http://schemas.microsoft.com/office/drawing/2014/main" id="{92DEE9F7-783C-4326-92BE-9C4DB225841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08" name="Host Control  29">
          <a:extLst>
            <a:ext uri="{FF2B5EF4-FFF2-40B4-BE49-F238E27FC236}">
              <a16:creationId xmlns:a16="http://schemas.microsoft.com/office/drawing/2014/main" id="{FDA15FE5-CF56-4513-9500-549BE5F1D88D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09" name="Host Control  30">
          <a:extLst>
            <a:ext uri="{FF2B5EF4-FFF2-40B4-BE49-F238E27FC236}">
              <a16:creationId xmlns:a16="http://schemas.microsoft.com/office/drawing/2014/main" id="{8811DBBF-BF3E-4627-9B28-DFCCD91E3BB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10" name="Host Control  32">
          <a:extLst>
            <a:ext uri="{FF2B5EF4-FFF2-40B4-BE49-F238E27FC236}">
              <a16:creationId xmlns:a16="http://schemas.microsoft.com/office/drawing/2014/main" id="{89AC9A0A-FDEC-43D5-969B-A1FB7DA19BC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11" name="Host Control  33">
          <a:extLst>
            <a:ext uri="{FF2B5EF4-FFF2-40B4-BE49-F238E27FC236}">
              <a16:creationId xmlns:a16="http://schemas.microsoft.com/office/drawing/2014/main" id="{2AA3F4EF-A4A1-4046-A380-2E00899018FB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12" name="Host Control  34">
          <a:extLst>
            <a:ext uri="{FF2B5EF4-FFF2-40B4-BE49-F238E27FC236}">
              <a16:creationId xmlns:a16="http://schemas.microsoft.com/office/drawing/2014/main" id="{F01E85A4-ACDB-4C0B-AB26-62C5F2FFE87E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13" name="Host Control  36">
          <a:extLst>
            <a:ext uri="{FF2B5EF4-FFF2-40B4-BE49-F238E27FC236}">
              <a16:creationId xmlns:a16="http://schemas.microsoft.com/office/drawing/2014/main" id="{7D5DC1D7-52D4-4566-BB8B-85FF2AD3DD2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14" name="Host Control  37">
          <a:extLst>
            <a:ext uri="{FF2B5EF4-FFF2-40B4-BE49-F238E27FC236}">
              <a16:creationId xmlns:a16="http://schemas.microsoft.com/office/drawing/2014/main" id="{6AE38941-4977-44A3-B523-9A888CCDB15D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15" name="Host Control  38">
          <a:extLst>
            <a:ext uri="{FF2B5EF4-FFF2-40B4-BE49-F238E27FC236}">
              <a16:creationId xmlns:a16="http://schemas.microsoft.com/office/drawing/2014/main" id="{6E6D152D-5F54-460C-8393-6B2198B55A42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16" name="Host Control  40">
          <a:extLst>
            <a:ext uri="{FF2B5EF4-FFF2-40B4-BE49-F238E27FC236}">
              <a16:creationId xmlns:a16="http://schemas.microsoft.com/office/drawing/2014/main" id="{6E546E26-EA58-4B8B-A0FB-FCE67C78E81E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17" name="Host Control  41">
          <a:extLst>
            <a:ext uri="{FF2B5EF4-FFF2-40B4-BE49-F238E27FC236}">
              <a16:creationId xmlns:a16="http://schemas.microsoft.com/office/drawing/2014/main" id="{4383F1C1-747E-4467-A262-0017CA083306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18" name="Host Control  42">
          <a:extLst>
            <a:ext uri="{FF2B5EF4-FFF2-40B4-BE49-F238E27FC236}">
              <a16:creationId xmlns:a16="http://schemas.microsoft.com/office/drawing/2014/main" id="{DB891EAA-169F-4DC3-A852-5CE495949961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19" name="Host Control  44">
          <a:extLst>
            <a:ext uri="{FF2B5EF4-FFF2-40B4-BE49-F238E27FC236}">
              <a16:creationId xmlns:a16="http://schemas.microsoft.com/office/drawing/2014/main" id="{0EDF4D96-9C29-42C6-9DF9-EDC1FB922F13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20" name="Host Control  45">
          <a:extLst>
            <a:ext uri="{FF2B5EF4-FFF2-40B4-BE49-F238E27FC236}">
              <a16:creationId xmlns:a16="http://schemas.microsoft.com/office/drawing/2014/main" id="{5E0B0F7A-4A77-48A2-89A7-B3EBABD9BF20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21" name="Host Control  46">
          <a:extLst>
            <a:ext uri="{FF2B5EF4-FFF2-40B4-BE49-F238E27FC236}">
              <a16:creationId xmlns:a16="http://schemas.microsoft.com/office/drawing/2014/main" id="{66873A46-0526-4EF9-A65E-8838E335EEBF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22" name="Host Control  5">
          <a:extLst>
            <a:ext uri="{FF2B5EF4-FFF2-40B4-BE49-F238E27FC236}">
              <a16:creationId xmlns:a16="http://schemas.microsoft.com/office/drawing/2014/main" id="{C429B7D2-E121-43E1-BF7A-0A2F8C0341D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23" name="Host Control  6">
          <a:extLst>
            <a:ext uri="{FF2B5EF4-FFF2-40B4-BE49-F238E27FC236}">
              <a16:creationId xmlns:a16="http://schemas.microsoft.com/office/drawing/2014/main" id="{C8A694E8-C47E-4A9C-BF5B-BC1D2F8C6496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624" name="Host Control  7">
          <a:extLst>
            <a:ext uri="{FF2B5EF4-FFF2-40B4-BE49-F238E27FC236}">
              <a16:creationId xmlns:a16="http://schemas.microsoft.com/office/drawing/2014/main" id="{596D3A42-E87D-4FF2-B9AF-02DB7DCB2A99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25" name="Host Control  12">
          <a:extLst>
            <a:ext uri="{FF2B5EF4-FFF2-40B4-BE49-F238E27FC236}">
              <a16:creationId xmlns:a16="http://schemas.microsoft.com/office/drawing/2014/main" id="{40BB6D56-5224-4659-944C-667078384BF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26" name="Host Control  13">
          <a:extLst>
            <a:ext uri="{FF2B5EF4-FFF2-40B4-BE49-F238E27FC236}">
              <a16:creationId xmlns:a16="http://schemas.microsoft.com/office/drawing/2014/main" id="{53E35792-BAEF-44CE-8578-9CB5EA25694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627" name="Host Control  14">
          <a:extLst>
            <a:ext uri="{FF2B5EF4-FFF2-40B4-BE49-F238E27FC236}">
              <a16:creationId xmlns:a16="http://schemas.microsoft.com/office/drawing/2014/main" id="{8A4CB774-CEE1-49C2-93A2-962AC4A7C5A3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28" name="Host Control  16">
          <a:extLst>
            <a:ext uri="{FF2B5EF4-FFF2-40B4-BE49-F238E27FC236}">
              <a16:creationId xmlns:a16="http://schemas.microsoft.com/office/drawing/2014/main" id="{DECD105F-6EB3-4838-B6F2-7D57F4BCDB3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29" name="Host Control  17">
          <a:extLst>
            <a:ext uri="{FF2B5EF4-FFF2-40B4-BE49-F238E27FC236}">
              <a16:creationId xmlns:a16="http://schemas.microsoft.com/office/drawing/2014/main" id="{99FA8592-0262-4EB4-9E88-4D99720B463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630" name="Host Control  18">
          <a:extLst>
            <a:ext uri="{FF2B5EF4-FFF2-40B4-BE49-F238E27FC236}">
              <a16:creationId xmlns:a16="http://schemas.microsoft.com/office/drawing/2014/main" id="{837B6C13-68EE-4FCC-A1A2-E6D0B33D798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31" name="Host Control  20">
          <a:extLst>
            <a:ext uri="{FF2B5EF4-FFF2-40B4-BE49-F238E27FC236}">
              <a16:creationId xmlns:a16="http://schemas.microsoft.com/office/drawing/2014/main" id="{9573AC8C-9323-41D5-93B1-B52CC94B598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32" name="Host Control  21">
          <a:extLst>
            <a:ext uri="{FF2B5EF4-FFF2-40B4-BE49-F238E27FC236}">
              <a16:creationId xmlns:a16="http://schemas.microsoft.com/office/drawing/2014/main" id="{A1BC551C-2601-413C-9D03-8992D4EACC5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633" name="Host Control  22">
          <a:extLst>
            <a:ext uri="{FF2B5EF4-FFF2-40B4-BE49-F238E27FC236}">
              <a16:creationId xmlns:a16="http://schemas.microsoft.com/office/drawing/2014/main" id="{54110AE9-3EB3-47E0-9D8E-8A7DCB5DE43C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34" name="Host Control  24">
          <a:extLst>
            <a:ext uri="{FF2B5EF4-FFF2-40B4-BE49-F238E27FC236}">
              <a16:creationId xmlns:a16="http://schemas.microsoft.com/office/drawing/2014/main" id="{94F8F35B-2479-4067-939D-EC0E75A7CF5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35" name="Host Control  25">
          <a:extLst>
            <a:ext uri="{FF2B5EF4-FFF2-40B4-BE49-F238E27FC236}">
              <a16:creationId xmlns:a16="http://schemas.microsoft.com/office/drawing/2014/main" id="{5442433D-674F-4CB6-822B-0C90B8E986B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636" name="Host Control  26">
          <a:extLst>
            <a:ext uri="{FF2B5EF4-FFF2-40B4-BE49-F238E27FC236}">
              <a16:creationId xmlns:a16="http://schemas.microsoft.com/office/drawing/2014/main" id="{34B99890-AE3B-4579-A1B8-E9A294DE822F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37" name="Host Control  28">
          <a:extLst>
            <a:ext uri="{FF2B5EF4-FFF2-40B4-BE49-F238E27FC236}">
              <a16:creationId xmlns:a16="http://schemas.microsoft.com/office/drawing/2014/main" id="{AC94F1D3-741F-4ADF-BA9D-16A3D0C4053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38" name="Host Control  29">
          <a:extLst>
            <a:ext uri="{FF2B5EF4-FFF2-40B4-BE49-F238E27FC236}">
              <a16:creationId xmlns:a16="http://schemas.microsoft.com/office/drawing/2014/main" id="{5C07F283-76AC-4422-9044-7403B1EAC80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639" name="Host Control  30">
          <a:extLst>
            <a:ext uri="{FF2B5EF4-FFF2-40B4-BE49-F238E27FC236}">
              <a16:creationId xmlns:a16="http://schemas.microsoft.com/office/drawing/2014/main" id="{849C8699-CBEC-44FA-A53D-DE1DEFE06894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40" name="Host Control  32">
          <a:extLst>
            <a:ext uri="{FF2B5EF4-FFF2-40B4-BE49-F238E27FC236}">
              <a16:creationId xmlns:a16="http://schemas.microsoft.com/office/drawing/2014/main" id="{70BB91E5-7D6E-4820-8632-E5033A2C535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41" name="Host Control  33">
          <a:extLst>
            <a:ext uri="{FF2B5EF4-FFF2-40B4-BE49-F238E27FC236}">
              <a16:creationId xmlns:a16="http://schemas.microsoft.com/office/drawing/2014/main" id="{AAE90F82-7203-480F-B38A-760B1483F40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642" name="Host Control  34">
          <a:extLst>
            <a:ext uri="{FF2B5EF4-FFF2-40B4-BE49-F238E27FC236}">
              <a16:creationId xmlns:a16="http://schemas.microsoft.com/office/drawing/2014/main" id="{88379D61-7423-46FA-B5E7-A3611B8A1784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43" name="Host Control  36">
          <a:extLst>
            <a:ext uri="{FF2B5EF4-FFF2-40B4-BE49-F238E27FC236}">
              <a16:creationId xmlns:a16="http://schemas.microsoft.com/office/drawing/2014/main" id="{3396AFA6-45D8-4A84-99F0-D609500B9AC8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44" name="Host Control  37">
          <a:extLst>
            <a:ext uri="{FF2B5EF4-FFF2-40B4-BE49-F238E27FC236}">
              <a16:creationId xmlns:a16="http://schemas.microsoft.com/office/drawing/2014/main" id="{32059066-9D9B-4305-B403-79AF070F2ED2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645" name="Host Control  38">
          <a:extLst>
            <a:ext uri="{FF2B5EF4-FFF2-40B4-BE49-F238E27FC236}">
              <a16:creationId xmlns:a16="http://schemas.microsoft.com/office/drawing/2014/main" id="{3AF9E1B1-1272-4552-9B93-29D03B60FE9A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46" name="Host Control  40">
          <a:extLst>
            <a:ext uri="{FF2B5EF4-FFF2-40B4-BE49-F238E27FC236}">
              <a16:creationId xmlns:a16="http://schemas.microsoft.com/office/drawing/2014/main" id="{5C7773B9-6040-4B29-ACA5-6683004AC1E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47" name="Host Control  41">
          <a:extLst>
            <a:ext uri="{FF2B5EF4-FFF2-40B4-BE49-F238E27FC236}">
              <a16:creationId xmlns:a16="http://schemas.microsoft.com/office/drawing/2014/main" id="{F0C588F2-468B-47A5-B3E5-02A33889B62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648" name="Host Control  42">
          <a:extLst>
            <a:ext uri="{FF2B5EF4-FFF2-40B4-BE49-F238E27FC236}">
              <a16:creationId xmlns:a16="http://schemas.microsoft.com/office/drawing/2014/main" id="{7498AA94-2C78-4523-8CBA-320DB3925BBC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49" name="Host Control  44">
          <a:extLst>
            <a:ext uri="{FF2B5EF4-FFF2-40B4-BE49-F238E27FC236}">
              <a16:creationId xmlns:a16="http://schemas.microsoft.com/office/drawing/2014/main" id="{0860F328-54ED-4A55-B99C-C42C83060B6C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50" name="Host Control  45">
          <a:extLst>
            <a:ext uri="{FF2B5EF4-FFF2-40B4-BE49-F238E27FC236}">
              <a16:creationId xmlns:a16="http://schemas.microsoft.com/office/drawing/2014/main" id="{6E489FF7-2882-458E-954A-F50BDB7E704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867410</xdr:colOff>
      <xdr:row>2</xdr:row>
      <xdr:rowOff>111443</xdr:rowOff>
    </xdr:to>
    <xdr:sp macro="" textlink="">
      <xdr:nvSpPr>
        <xdr:cNvPr id="1651" name="Host Control  46">
          <a:extLst>
            <a:ext uri="{FF2B5EF4-FFF2-40B4-BE49-F238E27FC236}">
              <a16:creationId xmlns:a16="http://schemas.microsoft.com/office/drawing/2014/main" id="{94D9AC47-B28F-4AD0-8A51-CC9C6775A7EB}"/>
            </a:ext>
          </a:extLst>
        </xdr:cNvPr>
        <xdr:cNvSpPr/>
      </xdr:nvSpPr>
      <xdr:spPr>
        <a:xfrm>
          <a:off x="5245100" y="1333500"/>
          <a:ext cx="86741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52" name="Host Control  5">
          <a:extLst>
            <a:ext uri="{FF2B5EF4-FFF2-40B4-BE49-F238E27FC236}">
              <a16:creationId xmlns:a16="http://schemas.microsoft.com/office/drawing/2014/main" id="{7B53E9DC-7357-4726-8E20-62E090E5A287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53" name="Host Control  6">
          <a:extLst>
            <a:ext uri="{FF2B5EF4-FFF2-40B4-BE49-F238E27FC236}">
              <a16:creationId xmlns:a16="http://schemas.microsoft.com/office/drawing/2014/main" id="{19F691CF-0138-48AF-A22D-20A9F5796453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54" name="Host Control  7">
          <a:extLst>
            <a:ext uri="{FF2B5EF4-FFF2-40B4-BE49-F238E27FC236}">
              <a16:creationId xmlns:a16="http://schemas.microsoft.com/office/drawing/2014/main" id="{916D0554-869D-4DAD-A710-08FC32A07C75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55" name="Host Control  12">
          <a:extLst>
            <a:ext uri="{FF2B5EF4-FFF2-40B4-BE49-F238E27FC236}">
              <a16:creationId xmlns:a16="http://schemas.microsoft.com/office/drawing/2014/main" id="{E2934630-2ECD-4D91-9F90-0DE20C2B444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56" name="Host Control  13">
          <a:extLst>
            <a:ext uri="{FF2B5EF4-FFF2-40B4-BE49-F238E27FC236}">
              <a16:creationId xmlns:a16="http://schemas.microsoft.com/office/drawing/2014/main" id="{A0B976AD-9F03-4402-BD8B-CB585501550F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57" name="Host Control  14">
          <a:extLst>
            <a:ext uri="{FF2B5EF4-FFF2-40B4-BE49-F238E27FC236}">
              <a16:creationId xmlns:a16="http://schemas.microsoft.com/office/drawing/2014/main" id="{7A2DA5BF-8A8F-4792-8EC3-86979615CA0C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58" name="Host Control  16">
          <a:extLst>
            <a:ext uri="{FF2B5EF4-FFF2-40B4-BE49-F238E27FC236}">
              <a16:creationId xmlns:a16="http://schemas.microsoft.com/office/drawing/2014/main" id="{1B2344EA-00F6-493E-8EE4-FEEDCD5D627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59" name="Host Control  17">
          <a:extLst>
            <a:ext uri="{FF2B5EF4-FFF2-40B4-BE49-F238E27FC236}">
              <a16:creationId xmlns:a16="http://schemas.microsoft.com/office/drawing/2014/main" id="{700C69D2-2010-4C3D-B92E-FD57E06992B3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60" name="Host Control  18">
          <a:extLst>
            <a:ext uri="{FF2B5EF4-FFF2-40B4-BE49-F238E27FC236}">
              <a16:creationId xmlns:a16="http://schemas.microsoft.com/office/drawing/2014/main" id="{498D453F-BB3B-475B-A14D-A00C61ACA4B8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61" name="Host Control  20">
          <a:extLst>
            <a:ext uri="{FF2B5EF4-FFF2-40B4-BE49-F238E27FC236}">
              <a16:creationId xmlns:a16="http://schemas.microsoft.com/office/drawing/2014/main" id="{6FD015FE-B2DA-4E7E-BB28-670B194B3CF9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62" name="Host Control  21">
          <a:extLst>
            <a:ext uri="{FF2B5EF4-FFF2-40B4-BE49-F238E27FC236}">
              <a16:creationId xmlns:a16="http://schemas.microsoft.com/office/drawing/2014/main" id="{1B436941-9697-4AEE-BD5D-D04C51E39187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63" name="Host Control  22">
          <a:extLst>
            <a:ext uri="{FF2B5EF4-FFF2-40B4-BE49-F238E27FC236}">
              <a16:creationId xmlns:a16="http://schemas.microsoft.com/office/drawing/2014/main" id="{57F47C17-7C70-4823-B425-0D71AA516054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64" name="Host Control  24">
          <a:extLst>
            <a:ext uri="{FF2B5EF4-FFF2-40B4-BE49-F238E27FC236}">
              <a16:creationId xmlns:a16="http://schemas.microsoft.com/office/drawing/2014/main" id="{39F801FE-919B-4931-BC3E-E307F780B2CA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65" name="Host Control  25">
          <a:extLst>
            <a:ext uri="{FF2B5EF4-FFF2-40B4-BE49-F238E27FC236}">
              <a16:creationId xmlns:a16="http://schemas.microsoft.com/office/drawing/2014/main" id="{674CC5C4-9300-4109-BE2F-A8B5C50DFB34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66" name="Host Control  26">
          <a:extLst>
            <a:ext uri="{FF2B5EF4-FFF2-40B4-BE49-F238E27FC236}">
              <a16:creationId xmlns:a16="http://schemas.microsoft.com/office/drawing/2014/main" id="{E02EFC3B-EEA4-4C2A-BC7B-5E6683E7C2DC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67" name="Host Control  28">
          <a:extLst>
            <a:ext uri="{FF2B5EF4-FFF2-40B4-BE49-F238E27FC236}">
              <a16:creationId xmlns:a16="http://schemas.microsoft.com/office/drawing/2014/main" id="{31173E51-8CDB-4EC0-BC30-0EF40BF930FF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68" name="Host Control  29">
          <a:extLst>
            <a:ext uri="{FF2B5EF4-FFF2-40B4-BE49-F238E27FC236}">
              <a16:creationId xmlns:a16="http://schemas.microsoft.com/office/drawing/2014/main" id="{B15F7528-6ABE-4762-84F0-F058DD993FC8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69" name="Host Control  30">
          <a:extLst>
            <a:ext uri="{FF2B5EF4-FFF2-40B4-BE49-F238E27FC236}">
              <a16:creationId xmlns:a16="http://schemas.microsoft.com/office/drawing/2014/main" id="{F4534C42-2ADD-4996-B237-9C157EB906B3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70" name="Host Control  32">
          <a:extLst>
            <a:ext uri="{FF2B5EF4-FFF2-40B4-BE49-F238E27FC236}">
              <a16:creationId xmlns:a16="http://schemas.microsoft.com/office/drawing/2014/main" id="{AC6784F6-9E27-4411-BA7F-28227A3679F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71" name="Host Control  33">
          <a:extLst>
            <a:ext uri="{FF2B5EF4-FFF2-40B4-BE49-F238E27FC236}">
              <a16:creationId xmlns:a16="http://schemas.microsoft.com/office/drawing/2014/main" id="{10E36FF6-A197-4F9A-B999-47D3C64B42C7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72" name="Host Control  34">
          <a:extLst>
            <a:ext uri="{FF2B5EF4-FFF2-40B4-BE49-F238E27FC236}">
              <a16:creationId xmlns:a16="http://schemas.microsoft.com/office/drawing/2014/main" id="{9D00CF74-4913-4CAA-AD23-D70D074B74B6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73" name="Host Control  36">
          <a:extLst>
            <a:ext uri="{FF2B5EF4-FFF2-40B4-BE49-F238E27FC236}">
              <a16:creationId xmlns:a16="http://schemas.microsoft.com/office/drawing/2014/main" id="{60767F58-C3EB-45C2-A86D-9C1BB5DCD5F4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74" name="Host Control  37">
          <a:extLst>
            <a:ext uri="{FF2B5EF4-FFF2-40B4-BE49-F238E27FC236}">
              <a16:creationId xmlns:a16="http://schemas.microsoft.com/office/drawing/2014/main" id="{9361A412-7023-458F-B4B1-45C828E825AD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75" name="Host Control  38">
          <a:extLst>
            <a:ext uri="{FF2B5EF4-FFF2-40B4-BE49-F238E27FC236}">
              <a16:creationId xmlns:a16="http://schemas.microsoft.com/office/drawing/2014/main" id="{B98EC367-6DA5-4499-ADD6-49D4DA13D415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76" name="Host Control  40">
          <a:extLst>
            <a:ext uri="{FF2B5EF4-FFF2-40B4-BE49-F238E27FC236}">
              <a16:creationId xmlns:a16="http://schemas.microsoft.com/office/drawing/2014/main" id="{B6C3C52E-BF80-4BFD-AE44-9C5DBEAAF2D0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77" name="Host Control  41">
          <a:extLst>
            <a:ext uri="{FF2B5EF4-FFF2-40B4-BE49-F238E27FC236}">
              <a16:creationId xmlns:a16="http://schemas.microsoft.com/office/drawing/2014/main" id="{C3356BC6-7D6E-42E9-A9F9-7C2EEA0130A2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78" name="Host Control  42">
          <a:extLst>
            <a:ext uri="{FF2B5EF4-FFF2-40B4-BE49-F238E27FC236}">
              <a16:creationId xmlns:a16="http://schemas.microsoft.com/office/drawing/2014/main" id="{FA0BFD8B-7228-44E1-A995-87C44066689D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622935</xdr:colOff>
      <xdr:row>2</xdr:row>
      <xdr:rowOff>111443</xdr:rowOff>
    </xdr:to>
    <xdr:sp macro="" textlink="">
      <xdr:nvSpPr>
        <xdr:cNvPr id="1679" name="Host Control  44">
          <a:extLst>
            <a:ext uri="{FF2B5EF4-FFF2-40B4-BE49-F238E27FC236}">
              <a16:creationId xmlns:a16="http://schemas.microsoft.com/office/drawing/2014/main" id="{2B06307C-84A3-4FB5-9E82-8EDE15423325}"/>
            </a:ext>
          </a:extLst>
        </xdr:cNvPr>
        <xdr:cNvSpPr/>
      </xdr:nvSpPr>
      <xdr:spPr>
        <a:xfrm>
          <a:off x="5245100" y="1333500"/>
          <a:ext cx="62293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607695</xdr:colOff>
      <xdr:row>2</xdr:row>
      <xdr:rowOff>111443</xdr:rowOff>
    </xdr:to>
    <xdr:sp macro="" textlink="">
      <xdr:nvSpPr>
        <xdr:cNvPr id="1680" name="Host Control  45">
          <a:extLst>
            <a:ext uri="{FF2B5EF4-FFF2-40B4-BE49-F238E27FC236}">
              <a16:creationId xmlns:a16="http://schemas.microsoft.com/office/drawing/2014/main" id="{18C8C712-65FD-44C3-9855-816EA30F8A93}"/>
            </a:ext>
          </a:extLst>
        </xdr:cNvPr>
        <xdr:cNvSpPr/>
      </xdr:nvSpPr>
      <xdr:spPr>
        <a:xfrm>
          <a:off x="5245100" y="1333500"/>
          <a:ext cx="607695" cy="378143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850900</xdr:colOff>
      <xdr:row>2</xdr:row>
      <xdr:rowOff>111443</xdr:rowOff>
    </xdr:to>
    <xdr:sp macro="" textlink="">
      <xdr:nvSpPr>
        <xdr:cNvPr id="1681" name="Host Control  46">
          <a:extLst>
            <a:ext uri="{FF2B5EF4-FFF2-40B4-BE49-F238E27FC236}">
              <a16:creationId xmlns:a16="http://schemas.microsoft.com/office/drawing/2014/main" id="{4EE13699-9D7E-4461-A97C-7A3BF75E779A}"/>
            </a:ext>
          </a:extLst>
        </xdr:cNvPr>
        <xdr:cNvSpPr/>
      </xdr:nvSpPr>
      <xdr:spPr>
        <a:xfrm>
          <a:off x="5245100" y="1333500"/>
          <a:ext cx="850900" cy="378143"/>
        </a:xfrm>
        <a:prstGeom prst="rect">
          <a:avLst/>
        </a:prstGeom>
        <a:noFill/>
        <a:ln w="9525">
          <a:noFill/>
        </a:ln>
      </xdr:spPr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71"/>
  <sheetViews>
    <sheetView tabSelected="1" topLeftCell="H1" workbookViewId="0">
      <pane ySplit="1" topLeftCell="A2" activePane="bottomLeft" state="frozen"/>
      <selection pane="bottomLeft" activeCell="R17" sqref="R17"/>
    </sheetView>
  </sheetViews>
  <sheetFormatPr defaultColWidth="9" defaultRowHeight="13.2"/>
  <cols>
    <col min="1" max="1" width="7" style="26" customWidth="1"/>
    <col min="2" max="2" width="12" style="41" customWidth="1"/>
    <col min="3" max="3" width="80.88671875" style="26" bestFit="1" customWidth="1"/>
    <col min="4" max="4" width="12.44140625" style="26" customWidth="1"/>
    <col min="5" max="5" width="9.21875" style="26" customWidth="1"/>
    <col min="6" max="6" width="9.77734375" style="26" customWidth="1"/>
    <col min="7" max="7" width="15.21875" style="46" customWidth="1"/>
    <col min="8" max="8" width="15.21875" style="18" customWidth="1"/>
    <col min="9" max="9" width="18.33203125" style="18" customWidth="1"/>
    <col min="10" max="10" width="18.21875" style="18" customWidth="1"/>
    <col min="11" max="11" width="20.21875" style="33" customWidth="1"/>
    <col min="12" max="15" width="20.21875" style="18" customWidth="1"/>
    <col min="16" max="16" width="20.21875" style="26" customWidth="1"/>
    <col min="17" max="17" width="11.77734375" style="26" customWidth="1"/>
    <col min="18" max="18" width="10.77734375" customWidth="1"/>
  </cols>
  <sheetData>
    <row r="1" spans="1:20" ht="27" customHeigh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42" t="s">
        <v>1608</v>
      </c>
      <c r="H1" s="10" t="s">
        <v>1609</v>
      </c>
      <c r="I1" s="10" t="s">
        <v>6</v>
      </c>
      <c r="J1" s="10" t="s">
        <v>7</v>
      </c>
      <c r="K1" s="10" t="s">
        <v>8</v>
      </c>
      <c r="L1" s="10" t="s">
        <v>1260</v>
      </c>
      <c r="M1" s="10" t="s">
        <v>1261</v>
      </c>
      <c r="N1" s="10" t="s">
        <v>1262</v>
      </c>
      <c r="O1" s="10" t="s">
        <v>9</v>
      </c>
      <c r="P1" s="10" t="s">
        <v>1448</v>
      </c>
      <c r="Q1" s="10" t="s">
        <v>1263</v>
      </c>
    </row>
    <row r="2" spans="1:20">
      <c r="A2" s="11">
        <f>ROW()-1</f>
        <v>1</v>
      </c>
      <c r="B2" s="34">
        <v>802002221</v>
      </c>
      <c r="C2" s="35" t="s">
        <v>1443</v>
      </c>
      <c r="D2" s="34"/>
      <c r="E2" s="34"/>
      <c r="F2" s="34" t="s">
        <v>11</v>
      </c>
      <c r="G2" s="45">
        <v>0</v>
      </c>
      <c r="H2" s="34">
        <v>0</v>
      </c>
      <c r="I2" s="34"/>
      <c r="J2" s="34"/>
      <c r="K2" s="37"/>
      <c r="L2" s="34"/>
      <c r="M2" s="34"/>
      <c r="N2" s="34"/>
      <c r="O2" s="34"/>
      <c r="P2" s="34"/>
      <c r="Q2" s="16">
        <v>2958465</v>
      </c>
      <c r="R2" s="36"/>
      <c r="S2" s="36"/>
      <c r="T2" s="36"/>
    </row>
    <row r="3" spans="1:20">
      <c r="A3" s="11">
        <f>ROW()-1</f>
        <v>2</v>
      </c>
      <c r="B3" s="12">
        <v>8010012683</v>
      </c>
      <c r="C3" s="30" t="s">
        <v>1264</v>
      </c>
      <c r="D3" s="30"/>
      <c r="E3" s="30"/>
      <c r="F3" s="30"/>
      <c r="G3" s="43">
        <v>13513</v>
      </c>
      <c r="H3" s="31">
        <v>12173.873873873872</v>
      </c>
      <c r="I3" s="13" t="s">
        <v>107</v>
      </c>
      <c r="J3" s="13" t="s">
        <v>108</v>
      </c>
      <c r="K3" s="14" t="s">
        <v>1265</v>
      </c>
      <c r="L3" s="12" t="s">
        <v>1266</v>
      </c>
      <c r="M3" s="12" t="s">
        <v>11</v>
      </c>
      <c r="N3" s="15" t="s">
        <v>1267</v>
      </c>
      <c r="O3" s="15" t="s">
        <v>15</v>
      </c>
      <c r="P3" s="12" t="s">
        <v>16</v>
      </c>
      <c r="Q3" s="16">
        <v>2958465</v>
      </c>
    </row>
    <row r="4" spans="1:20">
      <c r="A4" s="11">
        <f>ROW()-1</f>
        <v>3</v>
      </c>
      <c r="B4" s="12">
        <v>8010012684</v>
      </c>
      <c r="C4" s="30" t="s">
        <v>1268</v>
      </c>
      <c r="D4" s="30"/>
      <c r="E4" s="30"/>
      <c r="F4" s="30"/>
      <c r="G4" s="43">
        <v>18366</v>
      </c>
      <c r="H4" s="31">
        <v>16545.945945945943</v>
      </c>
      <c r="I4" s="13" t="s">
        <v>107</v>
      </c>
      <c r="J4" s="13" t="s">
        <v>108</v>
      </c>
      <c r="K4" s="14" t="s">
        <v>1265</v>
      </c>
      <c r="L4" s="12" t="s">
        <v>1266</v>
      </c>
      <c r="M4" s="12" t="s">
        <v>11</v>
      </c>
      <c r="N4" s="15" t="s">
        <v>1267</v>
      </c>
      <c r="O4" s="15" t="s">
        <v>15</v>
      </c>
      <c r="P4" s="12" t="s">
        <v>16</v>
      </c>
      <c r="Q4" s="16">
        <v>2958465</v>
      </c>
    </row>
    <row r="5" spans="1:20">
      <c r="A5" s="11">
        <f t="shared" ref="A5:A68" si="0">ROW()-1</f>
        <v>4</v>
      </c>
      <c r="B5" s="12">
        <v>8010012691</v>
      </c>
      <c r="C5" s="30" t="s">
        <v>1269</v>
      </c>
      <c r="D5" s="30"/>
      <c r="E5" s="30"/>
      <c r="F5" s="30"/>
      <c r="G5" s="43">
        <v>25106</v>
      </c>
      <c r="H5" s="31">
        <v>22618.018018018018</v>
      </c>
      <c r="I5" s="13" t="s">
        <v>107</v>
      </c>
      <c r="J5" s="13" t="s">
        <v>108</v>
      </c>
      <c r="K5" s="14" t="s">
        <v>1265</v>
      </c>
      <c r="L5" s="12" t="s">
        <v>1266</v>
      </c>
      <c r="M5" s="12" t="s">
        <v>11</v>
      </c>
      <c r="N5" s="15" t="s">
        <v>1267</v>
      </c>
      <c r="O5" s="15" t="s">
        <v>15</v>
      </c>
      <c r="P5" s="12" t="s">
        <v>16</v>
      </c>
      <c r="Q5" s="16">
        <v>2958465</v>
      </c>
    </row>
    <row r="6" spans="1:20" ht="13.8">
      <c r="A6" s="11">
        <f t="shared" si="0"/>
        <v>5</v>
      </c>
      <c r="B6" s="11">
        <v>8010012692</v>
      </c>
      <c r="C6" s="29" t="s">
        <v>241</v>
      </c>
      <c r="D6" s="27">
        <v>66800</v>
      </c>
      <c r="E6" s="11">
        <v>0.64</v>
      </c>
      <c r="F6" s="11" t="s">
        <v>11</v>
      </c>
      <c r="G6" s="44">
        <v>42752</v>
      </c>
      <c r="H6" s="28">
        <v>38515.315315315311</v>
      </c>
      <c r="I6" s="19" t="s">
        <v>107</v>
      </c>
      <c r="J6" s="19" t="s">
        <v>108</v>
      </c>
      <c r="K6" s="32" t="s">
        <v>242</v>
      </c>
      <c r="L6" s="22"/>
      <c r="M6" s="22"/>
      <c r="N6" s="22"/>
      <c r="O6" s="20" t="s">
        <v>15</v>
      </c>
      <c r="P6" s="25" t="s">
        <v>16</v>
      </c>
      <c r="Q6" s="16">
        <v>2958465</v>
      </c>
    </row>
    <row r="7" spans="1:20">
      <c r="A7" s="11">
        <f t="shared" si="0"/>
        <v>6</v>
      </c>
      <c r="B7" s="12">
        <v>8010012693</v>
      </c>
      <c r="C7" s="30" t="s">
        <v>1270</v>
      </c>
      <c r="D7" s="30"/>
      <c r="E7" s="30"/>
      <c r="F7" s="30"/>
      <c r="G7" s="43">
        <v>42828</v>
      </c>
      <c r="H7" s="31">
        <v>38583.78378378378</v>
      </c>
      <c r="I7" s="13" t="s">
        <v>107</v>
      </c>
      <c r="J7" s="13" t="s">
        <v>108</v>
      </c>
      <c r="K7" s="14" t="s">
        <v>1265</v>
      </c>
      <c r="L7" s="12" t="s">
        <v>1266</v>
      </c>
      <c r="M7" s="12" t="s">
        <v>11</v>
      </c>
      <c r="N7" s="15" t="s">
        <v>1267</v>
      </c>
      <c r="O7" s="15" t="s">
        <v>15</v>
      </c>
      <c r="P7" s="12" t="s">
        <v>16</v>
      </c>
      <c r="Q7" s="16">
        <v>2958465</v>
      </c>
    </row>
    <row r="8" spans="1:20">
      <c r="A8" s="11">
        <f t="shared" si="0"/>
        <v>7</v>
      </c>
      <c r="B8" s="12">
        <v>8010012694</v>
      </c>
      <c r="C8" s="30" t="s">
        <v>1271</v>
      </c>
      <c r="D8" s="30"/>
      <c r="E8" s="30"/>
      <c r="F8" s="30"/>
      <c r="G8" s="43">
        <v>55043</v>
      </c>
      <c r="H8" s="31">
        <v>49588.288288288284</v>
      </c>
      <c r="I8" s="13" t="s">
        <v>107</v>
      </c>
      <c r="J8" s="13" t="s">
        <v>108</v>
      </c>
      <c r="K8" s="14" t="s">
        <v>1265</v>
      </c>
      <c r="L8" s="12" t="s">
        <v>1266</v>
      </c>
      <c r="M8" s="12" t="s">
        <v>11</v>
      </c>
      <c r="N8" s="15" t="s">
        <v>1267</v>
      </c>
      <c r="O8" s="15" t="s">
        <v>15</v>
      </c>
      <c r="P8" s="12" t="s">
        <v>16</v>
      </c>
      <c r="Q8" s="16">
        <v>2958465</v>
      </c>
    </row>
    <row r="9" spans="1:20">
      <c r="A9" s="11">
        <f t="shared" si="0"/>
        <v>8</v>
      </c>
      <c r="B9" s="11">
        <v>8010012695</v>
      </c>
      <c r="C9" s="25" t="s">
        <v>243</v>
      </c>
      <c r="D9" s="27">
        <v>142800</v>
      </c>
      <c r="E9" s="11">
        <v>0.64</v>
      </c>
      <c r="F9" s="11" t="s">
        <v>11</v>
      </c>
      <c r="G9" s="44">
        <v>91392</v>
      </c>
      <c r="H9" s="28">
        <v>82335.135135135133</v>
      </c>
      <c r="I9" s="19" t="s">
        <v>107</v>
      </c>
      <c r="J9" s="19" t="s">
        <v>108</v>
      </c>
      <c r="K9" s="32" t="s">
        <v>242</v>
      </c>
      <c r="L9" s="22"/>
      <c r="M9" s="22"/>
      <c r="N9" s="22"/>
      <c r="O9" s="20" t="s">
        <v>15</v>
      </c>
      <c r="P9" s="25" t="s">
        <v>16</v>
      </c>
      <c r="Q9" s="16">
        <v>2958465</v>
      </c>
    </row>
    <row r="10" spans="1:20">
      <c r="A10" s="11">
        <f t="shared" si="0"/>
        <v>9</v>
      </c>
      <c r="B10" s="12">
        <v>8010012696</v>
      </c>
      <c r="C10" s="30" t="s">
        <v>1272</v>
      </c>
      <c r="D10" s="30"/>
      <c r="E10" s="30"/>
      <c r="F10" s="30"/>
      <c r="G10" s="43">
        <v>113006</v>
      </c>
      <c r="H10" s="31">
        <v>101807.2072072072</v>
      </c>
      <c r="I10" s="13" t="s">
        <v>107</v>
      </c>
      <c r="J10" s="13" t="s">
        <v>108</v>
      </c>
      <c r="K10" s="14" t="s">
        <v>1265</v>
      </c>
      <c r="L10" s="12" t="s">
        <v>1266</v>
      </c>
      <c r="M10" s="12" t="s">
        <v>11</v>
      </c>
      <c r="N10" s="15" t="s">
        <v>1267</v>
      </c>
      <c r="O10" s="15" t="s">
        <v>15</v>
      </c>
      <c r="P10" s="12" t="s">
        <v>16</v>
      </c>
      <c r="Q10" s="16">
        <v>2958465</v>
      </c>
    </row>
    <row r="11" spans="1:20">
      <c r="A11" s="11">
        <f t="shared" si="0"/>
        <v>10</v>
      </c>
      <c r="B11" s="12">
        <v>8010012697</v>
      </c>
      <c r="C11" s="30" t="s">
        <v>1273</v>
      </c>
      <c r="D11" s="30"/>
      <c r="E11" s="30"/>
      <c r="F11" s="30"/>
      <c r="G11" s="43">
        <v>187146</v>
      </c>
      <c r="H11" s="31">
        <v>168599.99999999997</v>
      </c>
      <c r="I11" s="13" t="s">
        <v>107</v>
      </c>
      <c r="J11" s="13" t="s">
        <v>108</v>
      </c>
      <c r="K11" s="14" t="s">
        <v>1265</v>
      </c>
      <c r="L11" s="12" t="s">
        <v>1266</v>
      </c>
      <c r="M11" s="12" t="s">
        <v>11</v>
      </c>
      <c r="N11" s="15" t="s">
        <v>1267</v>
      </c>
      <c r="O11" s="15" t="s">
        <v>15</v>
      </c>
      <c r="P11" s="12" t="s">
        <v>16</v>
      </c>
      <c r="Q11" s="16">
        <v>2958465</v>
      </c>
    </row>
    <row r="12" spans="1:20">
      <c r="A12" s="11">
        <f t="shared" si="0"/>
        <v>11</v>
      </c>
      <c r="B12" s="12">
        <v>8010012698</v>
      </c>
      <c r="C12" s="30" t="s">
        <v>1274</v>
      </c>
      <c r="D12" s="30"/>
      <c r="E12" s="30"/>
      <c r="F12" s="30"/>
      <c r="G12" s="43">
        <v>415798</v>
      </c>
      <c r="H12" s="31">
        <v>374592.79279279278</v>
      </c>
      <c r="I12" s="13" t="s">
        <v>107</v>
      </c>
      <c r="J12" s="13" t="s">
        <v>108</v>
      </c>
      <c r="K12" s="14" t="s">
        <v>1265</v>
      </c>
      <c r="L12" s="12" t="s">
        <v>1266</v>
      </c>
      <c r="M12" s="12" t="s">
        <v>11</v>
      </c>
      <c r="N12" s="15" t="s">
        <v>1267</v>
      </c>
      <c r="O12" s="15" t="s">
        <v>15</v>
      </c>
      <c r="P12" s="12" t="s">
        <v>16</v>
      </c>
      <c r="Q12" s="16">
        <v>2958465</v>
      </c>
    </row>
    <row r="13" spans="1:20">
      <c r="A13" s="11">
        <f t="shared" si="0"/>
        <v>12</v>
      </c>
      <c r="B13" s="12">
        <v>8010013537</v>
      </c>
      <c r="C13" s="30" t="s">
        <v>1310</v>
      </c>
      <c r="D13" s="30"/>
      <c r="E13" s="30"/>
      <c r="F13" s="30"/>
      <c r="G13" s="43">
        <v>18418</v>
      </c>
      <c r="H13" s="31">
        <v>16592.792792792792</v>
      </c>
      <c r="I13" s="13" t="s">
        <v>107</v>
      </c>
      <c r="J13" s="13" t="s">
        <v>108</v>
      </c>
      <c r="K13" s="14" t="s">
        <v>1265</v>
      </c>
      <c r="L13" s="12" t="s">
        <v>1266</v>
      </c>
      <c r="M13" s="12" t="s">
        <v>11</v>
      </c>
      <c r="N13" s="15" t="s">
        <v>1267</v>
      </c>
      <c r="O13" s="15" t="s">
        <v>15</v>
      </c>
      <c r="P13" s="12" t="s">
        <v>1311</v>
      </c>
      <c r="Q13" s="16">
        <v>2958465</v>
      </c>
    </row>
    <row r="14" spans="1:20">
      <c r="A14" s="11">
        <f t="shared" si="0"/>
        <v>13</v>
      </c>
      <c r="B14" s="12">
        <v>8010013538</v>
      </c>
      <c r="C14" s="30" t="s">
        <v>1312</v>
      </c>
      <c r="D14" s="30"/>
      <c r="E14" s="30"/>
      <c r="F14" s="30"/>
      <c r="G14" s="43">
        <v>25033</v>
      </c>
      <c r="H14" s="31">
        <v>22552.252252252249</v>
      </c>
      <c r="I14" s="13" t="s">
        <v>107</v>
      </c>
      <c r="J14" s="13" t="s">
        <v>108</v>
      </c>
      <c r="K14" s="14" t="s">
        <v>1265</v>
      </c>
      <c r="L14" s="12" t="s">
        <v>1266</v>
      </c>
      <c r="M14" s="12" t="s">
        <v>11</v>
      </c>
      <c r="N14" s="15" t="s">
        <v>1267</v>
      </c>
      <c r="O14" s="15" t="s">
        <v>15</v>
      </c>
      <c r="P14" s="12" t="s">
        <v>1311</v>
      </c>
      <c r="Q14" s="16">
        <v>2958465</v>
      </c>
    </row>
    <row r="15" spans="1:20">
      <c r="A15" s="11">
        <f t="shared" si="0"/>
        <v>14</v>
      </c>
      <c r="B15" s="12">
        <v>8010013539</v>
      </c>
      <c r="C15" s="30" t="s">
        <v>1313</v>
      </c>
      <c r="D15" s="30"/>
      <c r="E15" s="30"/>
      <c r="F15" s="30"/>
      <c r="G15" s="43">
        <v>34220</v>
      </c>
      <c r="H15" s="31">
        <v>30828.828828828828</v>
      </c>
      <c r="I15" s="13" t="s">
        <v>107</v>
      </c>
      <c r="J15" s="13" t="s">
        <v>108</v>
      </c>
      <c r="K15" s="14" t="s">
        <v>1265</v>
      </c>
      <c r="L15" s="12" t="s">
        <v>1266</v>
      </c>
      <c r="M15" s="12" t="s">
        <v>11</v>
      </c>
      <c r="N15" s="15" t="s">
        <v>1267</v>
      </c>
      <c r="O15" s="15" t="s">
        <v>15</v>
      </c>
      <c r="P15" s="12" t="s">
        <v>1311</v>
      </c>
      <c r="Q15" s="16">
        <v>2958465</v>
      </c>
    </row>
    <row r="16" spans="1:20">
      <c r="A16" s="11">
        <f t="shared" si="0"/>
        <v>15</v>
      </c>
      <c r="B16" s="12">
        <v>8010013540</v>
      </c>
      <c r="C16" s="30" t="s">
        <v>1314</v>
      </c>
      <c r="D16" s="30"/>
      <c r="E16" s="30"/>
      <c r="F16" s="30"/>
      <c r="G16" s="43">
        <v>59085</v>
      </c>
      <c r="H16" s="31">
        <v>53229.729729729726</v>
      </c>
      <c r="I16" s="13" t="s">
        <v>107</v>
      </c>
      <c r="J16" s="13" t="s">
        <v>108</v>
      </c>
      <c r="K16" s="14" t="s">
        <v>1265</v>
      </c>
      <c r="L16" s="12" t="s">
        <v>1266</v>
      </c>
      <c r="M16" s="12" t="s">
        <v>11</v>
      </c>
      <c r="N16" s="15" t="s">
        <v>1267</v>
      </c>
      <c r="O16" s="15" t="s">
        <v>15</v>
      </c>
      <c r="P16" s="12" t="s">
        <v>1311</v>
      </c>
      <c r="Q16" s="16">
        <v>2958465</v>
      </c>
    </row>
    <row r="17" spans="1:17">
      <c r="A17" s="11">
        <f t="shared" si="0"/>
        <v>16</v>
      </c>
      <c r="B17" s="12">
        <v>8010013541</v>
      </c>
      <c r="C17" s="30" t="s">
        <v>1315</v>
      </c>
      <c r="D17" s="30"/>
      <c r="E17" s="30"/>
      <c r="F17" s="30"/>
      <c r="G17" s="43">
        <v>58374</v>
      </c>
      <c r="H17" s="31">
        <v>52589.189189189186</v>
      </c>
      <c r="I17" s="13" t="s">
        <v>107</v>
      </c>
      <c r="J17" s="13" t="s">
        <v>108</v>
      </c>
      <c r="K17" s="14" t="s">
        <v>1265</v>
      </c>
      <c r="L17" s="12" t="s">
        <v>1266</v>
      </c>
      <c r="M17" s="12" t="s">
        <v>11</v>
      </c>
      <c r="N17" s="15" t="s">
        <v>1267</v>
      </c>
      <c r="O17" s="15" t="s">
        <v>15</v>
      </c>
      <c r="P17" s="12" t="s">
        <v>1311</v>
      </c>
      <c r="Q17" s="16">
        <v>2958465</v>
      </c>
    </row>
    <row r="18" spans="1:17">
      <c r="A18" s="11">
        <f t="shared" si="0"/>
        <v>17</v>
      </c>
      <c r="B18" s="12">
        <v>8010013542</v>
      </c>
      <c r="C18" s="30" t="s">
        <v>1316</v>
      </c>
      <c r="D18" s="30"/>
      <c r="E18" s="30"/>
      <c r="F18" s="30"/>
      <c r="G18" s="43">
        <v>75023</v>
      </c>
      <c r="H18" s="31">
        <v>67588.288288288284</v>
      </c>
      <c r="I18" s="13" t="s">
        <v>107</v>
      </c>
      <c r="J18" s="13" t="s">
        <v>108</v>
      </c>
      <c r="K18" s="14" t="s">
        <v>1265</v>
      </c>
      <c r="L18" s="12" t="s">
        <v>1266</v>
      </c>
      <c r="M18" s="12" t="s">
        <v>11</v>
      </c>
      <c r="N18" s="15" t="s">
        <v>1267</v>
      </c>
      <c r="O18" s="15" t="s">
        <v>15</v>
      </c>
      <c r="P18" s="12" t="s">
        <v>1311</v>
      </c>
      <c r="Q18" s="16">
        <v>2958465</v>
      </c>
    </row>
    <row r="19" spans="1:17">
      <c r="A19" s="11">
        <f t="shared" si="0"/>
        <v>18</v>
      </c>
      <c r="B19" s="12">
        <v>8010013543</v>
      </c>
      <c r="C19" s="30" t="s">
        <v>1317</v>
      </c>
      <c r="D19" s="30"/>
      <c r="E19" s="30"/>
      <c r="F19" s="30"/>
      <c r="G19" s="43">
        <v>126307</v>
      </c>
      <c r="H19" s="31">
        <v>113790.09009009007</v>
      </c>
      <c r="I19" s="13" t="s">
        <v>107</v>
      </c>
      <c r="J19" s="13" t="s">
        <v>108</v>
      </c>
      <c r="K19" s="14" t="s">
        <v>1265</v>
      </c>
      <c r="L19" s="12" t="s">
        <v>1266</v>
      </c>
      <c r="M19" s="12" t="s">
        <v>11</v>
      </c>
      <c r="N19" s="15" t="s">
        <v>1267</v>
      </c>
      <c r="O19" s="15" t="s">
        <v>15</v>
      </c>
      <c r="P19" s="12" t="s">
        <v>1311</v>
      </c>
      <c r="Q19" s="16">
        <v>2958465</v>
      </c>
    </row>
    <row r="20" spans="1:17">
      <c r="A20" s="11">
        <f t="shared" si="0"/>
        <v>19</v>
      </c>
      <c r="B20" s="12">
        <v>8010013544</v>
      </c>
      <c r="C20" s="30" t="s">
        <v>1318</v>
      </c>
      <c r="D20" s="30"/>
      <c r="E20" s="30"/>
      <c r="F20" s="30"/>
      <c r="G20" s="43">
        <v>154028</v>
      </c>
      <c r="H20" s="31">
        <v>138763.96396396396</v>
      </c>
      <c r="I20" s="13" t="s">
        <v>107</v>
      </c>
      <c r="J20" s="13" t="s">
        <v>108</v>
      </c>
      <c r="K20" s="14" t="s">
        <v>1265</v>
      </c>
      <c r="L20" s="12" t="s">
        <v>1266</v>
      </c>
      <c r="M20" s="12" t="s">
        <v>11</v>
      </c>
      <c r="N20" s="15" t="s">
        <v>1267</v>
      </c>
      <c r="O20" s="15" t="s">
        <v>15</v>
      </c>
      <c r="P20" s="12" t="s">
        <v>1311</v>
      </c>
      <c r="Q20" s="16">
        <v>2958465</v>
      </c>
    </row>
    <row r="21" spans="1:17">
      <c r="A21" s="11">
        <f t="shared" si="0"/>
        <v>20</v>
      </c>
      <c r="B21" s="12">
        <v>8010013545</v>
      </c>
      <c r="C21" s="30" t="s">
        <v>1319</v>
      </c>
      <c r="D21" s="30"/>
      <c r="E21" s="30"/>
      <c r="F21" s="30"/>
      <c r="G21" s="43">
        <v>255080</v>
      </c>
      <c r="H21" s="31">
        <v>229801.80180180178</v>
      </c>
      <c r="I21" s="13" t="s">
        <v>107</v>
      </c>
      <c r="J21" s="13" t="s">
        <v>108</v>
      </c>
      <c r="K21" s="14" t="s">
        <v>1265</v>
      </c>
      <c r="L21" s="12" t="s">
        <v>1266</v>
      </c>
      <c r="M21" s="12" t="s">
        <v>11</v>
      </c>
      <c r="N21" s="15" t="s">
        <v>1267</v>
      </c>
      <c r="O21" s="15" t="s">
        <v>15</v>
      </c>
      <c r="P21" s="12" t="s">
        <v>1311</v>
      </c>
      <c r="Q21" s="16">
        <v>2958465</v>
      </c>
    </row>
    <row r="22" spans="1:17">
      <c r="A22" s="11">
        <f t="shared" si="0"/>
        <v>21</v>
      </c>
      <c r="B22" s="12">
        <v>8010013546</v>
      </c>
      <c r="C22" s="30" t="s">
        <v>1320</v>
      </c>
      <c r="D22" s="30"/>
      <c r="E22" s="30"/>
      <c r="F22" s="30"/>
      <c r="G22" s="43">
        <v>566733</v>
      </c>
      <c r="H22" s="31">
        <v>510570.27027027024</v>
      </c>
      <c r="I22" s="13" t="s">
        <v>107</v>
      </c>
      <c r="J22" s="13" t="s">
        <v>108</v>
      </c>
      <c r="K22" s="14" t="s">
        <v>1265</v>
      </c>
      <c r="L22" s="12" t="s">
        <v>1266</v>
      </c>
      <c r="M22" s="12" t="s">
        <v>11</v>
      </c>
      <c r="N22" s="15" t="s">
        <v>1267</v>
      </c>
      <c r="O22" s="15" t="s">
        <v>15</v>
      </c>
      <c r="P22" s="12" t="s">
        <v>1311</v>
      </c>
      <c r="Q22" s="16">
        <v>2958465</v>
      </c>
    </row>
    <row r="23" spans="1:17">
      <c r="A23" s="11">
        <f t="shared" si="0"/>
        <v>22</v>
      </c>
      <c r="B23" s="11">
        <v>8010013700</v>
      </c>
      <c r="C23" s="25" t="s">
        <v>245</v>
      </c>
      <c r="D23" s="27">
        <v>527900</v>
      </c>
      <c r="E23" s="11">
        <v>0.64</v>
      </c>
      <c r="F23" s="11" t="s">
        <v>11</v>
      </c>
      <c r="G23" s="44">
        <v>337856</v>
      </c>
      <c r="H23" s="28">
        <v>304374.77477477473</v>
      </c>
      <c r="I23" s="19" t="s">
        <v>107</v>
      </c>
      <c r="J23" s="19" t="s">
        <v>108</v>
      </c>
      <c r="K23" s="32" t="s">
        <v>242</v>
      </c>
      <c r="L23" s="22"/>
      <c r="M23" s="22"/>
      <c r="N23" s="22"/>
      <c r="O23" s="20" t="s">
        <v>15</v>
      </c>
      <c r="P23" s="25" t="s">
        <v>16</v>
      </c>
      <c r="Q23" s="16">
        <v>2958465</v>
      </c>
    </row>
    <row r="24" spans="1:17">
      <c r="A24" s="11">
        <f t="shared" si="0"/>
        <v>23</v>
      </c>
      <c r="B24" s="11">
        <v>8010013701</v>
      </c>
      <c r="C24" s="25" t="s">
        <v>244</v>
      </c>
      <c r="D24" s="27">
        <v>1242000</v>
      </c>
      <c r="E24" s="11">
        <v>0.64</v>
      </c>
      <c r="F24" s="11" t="s">
        <v>11</v>
      </c>
      <c r="G24" s="44">
        <v>794880</v>
      </c>
      <c r="H24" s="28">
        <v>716108.10810810805</v>
      </c>
      <c r="I24" s="19" t="s">
        <v>107</v>
      </c>
      <c r="J24" s="19" t="s">
        <v>108</v>
      </c>
      <c r="K24" s="32" t="s">
        <v>242</v>
      </c>
      <c r="L24" s="22"/>
      <c r="M24" s="22"/>
      <c r="N24" s="22"/>
      <c r="O24" s="20" t="s">
        <v>15</v>
      </c>
      <c r="P24" s="25" t="s">
        <v>16</v>
      </c>
      <c r="Q24" s="16">
        <v>2958465</v>
      </c>
    </row>
    <row r="25" spans="1:17">
      <c r="A25" s="11">
        <f t="shared" si="0"/>
        <v>24</v>
      </c>
      <c r="B25" s="11">
        <v>8010013702</v>
      </c>
      <c r="C25" s="25" t="s">
        <v>246</v>
      </c>
      <c r="D25" s="27">
        <v>1920000</v>
      </c>
      <c r="E25" s="11">
        <v>0.64</v>
      </c>
      <c r="F25" s="11" t="s">
        <v>11</v>
      </c>
      <c r="G25" s="44">
        <v>1228800</v>
      </c>
      <c r="H25" s="28">
        <v>1107027.027027027</v>
      </c>
      <c r="I25" s="19" t="s">
        <v>107</v>
      </c>
      <c r="J25" s="19" t="s">
        <v>108</v>
      </c>
      <c r="K25" s="32" t="s">
        <v>242</v>
      </c>
      <c r="L25" s="22"/>
      <c r="M25" s="22"/>
      <c r="N25" s="22"/>
      <c r="O25" s="20" t="s">
        <v>15</v>
      </c>
      <c r="P25" s="25" t="s">
        <v>16</v>
      </c>
      <c r="Q25" s="16">
        <v>2958465</v>
      </c>
    </row>
    <row r="26" spans="1:17">
      <c r="A26" s="11">
        <f t="shared" si="0"/>
        <v>25</v>
      </c>
      <c r="B26" s="11">
        <v>8010013703</v>
      </c>
      <c r="C26" s="25" t="s">
        <v>247</v>
      </c>
      <c r="D26" s="27">
        <v>2171000</v>
      </c>
      <c r="E26" s="11">
        <v>0.64</v>
      </c>
      <c r="F26" s="11" t="s">
        <v>11</v>
      </c>
      <c r="G26" s="44">
        <v>1389440</v>
      </c>
      <c r="H26" s="28">
        <v>1251747.7477477477</v>
      </c>
      <c r="I26" s="19" t="s">
        <v>107</v>
      </c>
      <c r="J26" s="19" t="s">
        <v>108</v>
      </c>
      <c r="K26" s="32" t="s">
        <v>242</v>
      </c>
      <c r="L26" s="22"/>
      <c r="M26" s="22"/>
      <c r="N26" s="22"/>
      <c r="O26" s="20" t="s">
        <v>15</v>
      </c>
      <c r="P26" s="25" t="s">
        <v>16</v>
      </c>
      <c r="Q26" s="16">
        <v>2958465</v>
      </c>
    </row>
    <row r="27" spans="1:17">
      <c r="A27" s="11">
        <f t="shared" si="0"/>
        <v>26</v>
      </c>
      <c r="B27" s="11">
        <v>8010013739</v>
      </c>
      <c r="C27" s="25" t="s">
        <v>530</v>
      </c>
      <c r="D27" s="27">
        <v>4210</v>
      </c>
      <c r="E27" s="11">
        <v>0.49</v>
      </c>
      <c r="F27" s="11" t="s">
        <v>11</v>
      </c>
      <c r="G27" s="44">
        <v>2063</v>
      </c>
      <c r="H27" s="28">
        <v>1858.5585585585584</v>
      </c>
      <c r="I27" s="19" t="s">
        <v>107</v>
      </c>
      <c r="J27" s="19" t="s">
        <v>108</v>
      </c>
      <c r="K27" s="32" t="s">
        <v>526</v>
      </c>
      <c r="L27" s="22"/>
      <c r="M27" s="22"/>
      <c r="N27" s="22"/>
      <c r="O27" s="20" t="s">
        <v>15</v>
      </c>
      <c r="P27" s="25" t="s">
        <v>16</v>
      </c>
      <c r="Q27" s="16">
        <v>2958465</v>
      </c>
    </row>
    <row r="28" spans="1:17">
      <c r="A28" s="11">
        <f t="shared" si="0"/>
        <v>27</v>
      </c>
      <c r="B28" s="12">
        <v>8010014139</v>
      </c>
      <c r="C28" s="30" t="s">
        <v>1306</v>
      </c>
      <c r="D28" s="30"/>
      <c r="E28" s="30"/>
      <c r="F28" s="30"/>
      <c r="G28" s="43">
        <v>25896</v>
      </c>
      <c r="H28" s="31">
        <v>23329.729729729726</v>
      </c>
      <c r="I28" s="13" t="s">
        <v>107</v>
      </c>
      <c r="J28" s="13" t="s">
        <v>108</v>
      </c>
      <c r="K28" s="14" t="s">
        <v>1265</v>
      </c>
      <c r="L28" s="12" t="s">
        <v>1266</v>
      </c>
      <c r="M28" s="12" t="s">
        <v>11</v>
      </c>
      <c r="N28" s="15" t="s">
        <v>1267</v>
      </c>
      <c r="O28" s="15" t="s">
        <v>15</v>
      </c>
      <c r="P28" s="12"/>
      <c r="Q28" s="16">
        <v>2958465</v>
      </c>
    </row>
    <row r="29" spans="1:17">
      <c r="A29" s="11">
        <f t="shared" si="0"/>
        <v>28</v>
      </c>
      <c r="B29" s="12">
        <v>8010014140</v>
      </c>
      <c r="C29" s="30" t="s">
        <v>1307</v>
      </c>
      <c r="D29" s="30"/>
      <c r="E29" s="30"/>
      <c r="F29" s="30"/>
      <c r="G29" s="43">
        <v>159339</v>
      </c>
      <c r="H29" s="31">
        <v>143548.64864864864</v>
      </c>
      <c r="I29" s="13" t="s">
        <v>107</v>
      </c>
      <c r="J29" s="13" t="s">
        <v>108</v>
      </c>
      <c r="K29" s="14" t="s">
        <v>1265</v>
      </c>
      <c r="L29" s="12" t="s">
        <v>1266</v>
      </c>
      <c r="M29" s="12" t="s">
        <v>11</v>
      </c>
      <c r="N29" s="15" t="s">
        <v>1267</v>
      </c>
      <c r="O29" s="15" t="s">
        <v>15</v>
      </c>
      <c r="P29" s="12"/>
      <c r="Q29" s="16">
        <v>2958465</v>
      </c>
    </row>
    <row r="30" spans="1:17">
      <c r="A30" s="11">
        <f t="shared" si="0"/>
        <v>29</v>
      </c>
      <c r="B30" s="12">
        <v>8010014141</v>
      </c>
      <c r="C30" s="30" t="s">
        <v>1308</v>
      </c>
      <c r="D30" s="30"/>
      <c r="E30" s="30"/>
      <c r="F30" s="30"/>
      <c r="G30" s="43">
        <v>263876</v>
      </c>
      <c r="H30" s="31">
        <v>237726.1261261261</v>
      </c>
      <c r="I30" s="13" t="s">
        <v>107</v>
      </c>
      <c r="J30" s="13" t="s">
        <v>108</v>
      </c>
      <c r="K30" s="14" t="s">
        <v>1265</v>
      </c>
      <c r="L30" s="12" t="s">
        <v>1266</v>
      </c>
      <c r="M30" s="12" t="s">
        <v>11</v>
      </c>
      <c r="N30" s="15" t="s">
        <v>1267</v>
      </c>
      <c r="O30" s="15" t="s">
        <v>15</v>
      </c>
      <c r="P30" s="12"/>
      <c r="Q30" s="16">
        <v>2958465</v>
      </c>
    </row>
    <row r="31" spans="1:17">
      <c r="A31" s="11">
        <f t="shared" si="0"/>
        <v>30</v>
      </c>
      <c r="B31" s="12">
        <v>8010014142</v>
      </c>
      <c r="C31" s="30" t="s">
        <v>1309</v>
      </c>
      <c r="D31" s="30"/>
      <c r="E31" s="30"/>
      <c r="F31" s="30"/>
      <c r="G31" s="43">
        <v>586275</v>
      </c>
      <c r="H31" s="31">
        <v>528175.67567567562</v>
      </c>
      <c r="I31" s="13" t="s">
        <v>107</v>
      </c>
      <c r="J31" s="13" t="s">
        <v>108</v>
      </c>
      <c r="K31" s="14" t="s">
        <v>1265</v>
      </c>
      <c r="L31" s="12" t="s">
        <v>1266</v>
      </c>
      <c r="M31" s="12" t="s">
        <v>11</v>
      </c>
      <c r="N31" s="15" t="s">
        <v>1267</v>
      </c>
      <c r="O31" s="15" t="s">
        <v>15</v>
      </c>
      <c r="P31" s="12"/>
      <c r="Q31" s="16">
        <v>2958465</v>
      </c>
    </row>
    <row r="32" spans="1:17">
      <c r="A32" s="11">
        <f t="shared" si="0"/>
        <v>31</v>
      </c>
      <c r="B32" s="11">
        <v>8010015813</v>
      </c>
      <c r="C32" s="25" t="s">
        <v>248</v>
      </c>
      <c r="D32" s="27">
        <v>765455</v>
      </c>
      <c r="E32" s="11">
        <v>0.64</v>
      </c>
      <c r="F32" s="11" t="s">
        <v>11</v>
      </c>
      <c r="G32" s="44">
        <v>489891</v>
      </c>
      <c r="H32" s="28">
        <v>441343.2432432432</v>
      </c>
      <c r="I32" s="19" t="s">
        <v>107</v>
      </c>
      <c r="J32" s="19" t="s">
        <v>108</v>
      </c>
      <c r="K32" s="32" t="s">
        <v>242</v>
      </c>
      <c r="L32" s="22"/>
      <c r="M32" s="22"/>
      <c r="N32" s="22"/>
      <c r="O32" s="20" t="s">
        <v>15</v>
      </c>
      <c r="P32" s="25" t="s">
        <v>16</v>
      </c>
      <c r="Q32" s="16">
        <v>2958465</v>
      </c>
    </row>
    <row r="33" spans="1:17">
      <c r="A33" s="11">
        <f t="shared" si="0"/>
        <v>32</v>
      </c>
      <c r="B33" s="11">
        <v>8010015814</v>
      </c>
      <c r="C33" s="25" t="s">
        <v>249</v>
      </c>
      <c r="D33" s="27">
        <v>1800900</v>
      </c>
      <c r="E33" s="11">
        <v>0.64</v>
      </c>
      <c r="F33" s="11" t="s">
        <v>11</v>
      </c>
      <c r="G33" s="44">
        <v>1152576</v>
      </c>
      <c r="H33" s="28">
        <v>1038356.7567567567</v>
      </c>
      <c r="I33" s="19" t="s">
        <v>107</v>
      </c>
      <c r="J33" s="19" t="s">
        <v>108</v>
      </c>
      <c r="K33" s="32" t="s">
        <v>242</v>
      </c>
      <c r="L33" s="22"/>
      <c r="M33" s="22"/>
      <c r="N33" s="22"/>
      <c r="O33" s="20" t="s">
        <v>15</v>
      </c>
      <c r="P33" s="25" t="s">
        <v>16</v>
      </c>
      <c r="Q33" s="16">
        <v>2958465</v>
      </c>
    </row>
    <row r="34" spans="1:17">
      <c r="A34" s="11">
        <f t="shared" si="0"/>
        <v>33</v>
      </c>
      <c r="B34" s="11">
        <v>8010016039</v>
      </c>
      <c r="C34" s="25" t="s">
        <v>250</v>
      </c>
      <c r="D34" s="27">
        <v>2784000</v>
      </c>
      <c r="E34" s="11">
        <v>0.64</v>
      </c>
      <c r="F34" s="11" t="s">
        <v>11</v>
      </c>
      <c r="G34" s="44">
        <v>1781760</v>
      </c>
      <c r="H34" s="28">
        <v>1605189.1891891891</v>
      </c>
      <c r="I34" s="19" t="s">
        <v>107</v>
      </c>
      <c r="J34" s="19" t="s">
        <v>108</v>
      </c>
      <c r="K34" s="32" t="s">
        <v>242</v>
      </c>
      <c r="L34" s="22"/>
      <c r="M34" s="22"/>
      <c r="N34" s="22"/>
      <c r="O34" s="20" t="s">
        <v>15</v>
      </c>
      <c r="P34" s="25" t="s">
        <v>16</v>
      </c>
      <c r="Q34" s="16">
        <v>2958465</v>
      </c>
    </row>
    <row r="35" spans="1:17">
      <c r="A35" s="11">
        <f t="shared" si="0"/>
        <v>34</v>
      </c>
      <c r="B35" s="11">
        <v>8010016040</v>
      </c>
      <c r="C35" s="25" t="s">
        <v>251</v>
      </c>
      <c r="D35" s="27">
        <v>3147950</v>
      </c>
      <c r="E35" s="11">
        <v>0.64</v>
      </c>
      <c r="F35" s="11" t="s">
        <v>11</v>
      </c>
      <c r="G35" s="44">
        <v>2014688</v>
      </c>
      <c r="H35" s="28">
        <v>1815034.2342342341</v>
      </c>
      <c r="I35" s="19" t="s">
        <v>107</v>
      </c>
      <c r="J35" s="19" t="s">
        <v>108</v>
      </c>
      <c r="K35" s="32" t="s">
        <v>242</v>
      </c>
      <c r="L35" s="22"/>
      <c r="M35" s="22"/>
      <c r="N35" s="22"/>
      <c r="O35" s="20" t="s">
        <v>15</v>
      </c>
      <c r="P35" s="25" t="s">
        <v>16</v>
      </c>
      <c r="Q35" s="16">
        <v>2958465</v>
      </c>
    </row>
    <row r="36" spans="1:17">
      <c r="A36" s="11">
        <f t="shared" si="0"/>
        <v>35</v>
      </c>
      <c r="B36" s="12">
        <v>8010016043</v>
      </c>
      <c r="C36" s="30" t="s">
        <v>1367</v>
      </c>
      <c r="D36" s="30"/>
      <c r="E36" s="30"/>
      <c r="F36" s="30"/>
      <c r="G36" s="43">
        <v>11431</v>
      </c>
      <c r="H36" s="31">
        <v>10298.198198198197</v>
      </c>
      <c r="I36" s="13" t="s">
        <v>107</v>
      </c>
      <c r="J36" s="13" t="s">
        <v>108</v>
      </c>
      <c r="K36" s="14" t="s">
        <v>1439</v>
      </c>
      <c r="L36" s="12" t="s">
        <v>1266</v>
      </c>
      <c r="M36" s="12" t="s">
        <v>11</v>
      </c>
      <c r="N36" s="15" t="s">
        <v>1267</v>
      </c>
      <c r="O36" s="15" t="s">
        <v>15</v>
      </c>
      <c r="P36" s="12" t="s">
        <v>1368</v>
      </c>
      <c r="Q36" s="16">
        <v>2958465</v>
      </c>
    </row>
    <row r="37" spans="1:17">
      <c r="A37" s="11">
        <f t="shared" si="0"/>
        <v>36</v>
      </c>
      <c r="B37" s="12">
        <v>8010016044</v>
      </c>
      <c r="C37" s="30" t="s">
        <v>1369</v>
      </c>
      <c r="D37" s="30"/>
      <c r="E37" s="30"/>
      <c r="F37" s="30"/>
      <c r="G37" s="43">
        <v>15537</v>
      </c>
      <c r="H37" s="31">
        <v>13997.297297297297</v>
      </c>
      <c r="I37" s="13" t="s">
        <v>107</v>
      </c>
      <c r="J37" s="13" t="s">
        <v>108</v>
      </c>
      <c r="K37" s="14" t="s">
        <v>1439</v>
      </c>
      <c r="L37" s="12" t="s">
        <v>1266</v>
      </c>
      <c r="M37" s="12" t="s">
        <v>11</v>
      </c>
      <c r="N37" s="15" t="s">
        <v>1267</v>
      </c>
      <c r="O37" s="15" t="s">
        <v>15</v>
      </c>
      <c r="P37" s="12" t="s">
        <v>1368</v>
      </c>
      <c r="Q37" s="16">
        <v>2958465</v>
      </c>
    </row>
    <row r="38" spans="1:17">
      <c r="A38" s="11">
        <f t="shared" si="0"/>
        <v>37</v>
      </c>
      <c r="B38" s="12">
        <v>8010016045</v>
      </c>
      <c r="C38" s="30" t="s">
        <v>1370</v>
      </c>
      <c r="D38" s="30"/>
      <c r="E38" s="30"/>
      <c r="F38" s="30"/>
      <c r="G38" s="43">
        <v>21240</v>
      </c>
      <c r="H38" s="31">
        <v>19135.135135135133</v>
      </c>
      <c r="I38" s="13" t="s">
        <v>107</v>
      </c>
      <c r="J38" s="13" t="s">
        <v>108</v>
      </c>
      <c r="K38" s="14" t="s">
        <v>1439</v>
      </c>
      <c r="L38" s="12" t="s">
        <v>1266</v>
      </c>
      <c r="M38" s="12" t="s">
        <v>11</v>
      </c>
      <c r="N38" s="15" t="s">
        <v>1267</v>
      </c>
      <c r="O38" s="15" t="s">
        <v>15</v>
      </c>
      <c r="P38" s="12" t="s">
        <v>1368</v>
      </c>
      <c r="Q38" s="16">
        <v>2958465</v>
      </c>
    </row>
    <row r="39" spans="1:17">
      <c r="A39" s="11">
        <f t="shared" si="0"/>
        <v>38</v>
      </c>
      <c r="B39" s="12">
        <v>8010016046</v>
      </c>
      <c r="C39" s="30" t="s">
        <v>1371</v>
      </c>
      <c r="D39" s="30"/>
      <c r="E39" s="30"/>
      <c r="F39" s="30"/>
      <c r="G39" s="43">
        <v>36673</v>
      </c>
      <c r="H39" s="31">
        <v>33038.738738738735</v>
      </c>
      <c r="I39" s="13" t="s">
        <v>107</v>
      </c>
      <c r="J39" s="13" t="s">
        <v>108</v>
      </c>
      <c r="K39" s="14" t="s">
        <v>1439</v>
      </c>
      <c r="L39" s="12" t="s">
        <v>1266</v>
      </c>
      <c r="M39" s="12" t="s">
        <v>11</v>
      </c>
      <c r="N39" s="15" t="s">
        <v>1267</v>
      </c>
      <c r="O39" s="15" t="s">
        <v>15</v>
      </c>
      <c r="P39" s="12" t="s">
        <v>1368</v>
      </c>
      <c r="Q39" s="16">
        <v>2958465</v>
      </c>
    </row>
    <row r="40" spans="1:17">
      <c r="A40" s="11">
        <f t="shared" si="0"/>
        <v>39</v>
      </c>
      <c r="B40" s="12">
        <v>8010016047</v>
      </c>
      <c r="C40" s="30" t="s">
        <v>1372</v>
      </c>
      <c r="D40" s="30"/>
      <c r="E40" s="30"/>
      <c r="F40" s="30"/>
      <c r="G40" s="43">
        <v>36232</v>
      </c>
      <c r="H40" s="31">
        <v>32641.441441441439</v>
      </c>
      <c r="I40" s="13" t="s">
        <v>107</v>
      </c>
      <c r="J40" s="13" t="s">
        <v>108</v>
      </c>
      <c r="K40" s="14" t="s">
        <v>1439</v>
      </c>
      <c r="L40" s="12" t="s">
        <v>1266</v>
      </c>
      <c r="M40" s="12" t="s">
        <v>11</v>
      </c>
      <c r="N40" s="15" t="s">
        <v>1267</v>
      </c>
      <c r="O40" s="15" t="s">
        <v>15</v>
      </c>
      <c r="P40" s="12" t="s">
        <v>1368</v>
      </c>
      <c r="Q40" s="16">
        <v>2958465</v>
      </c>
    </row>
    <row r="41" spans="1:17">
      <c r="A41" s="11">
        <f t="shared" si="0"/>
        <v>40</v>
      </c>
      <c r="B41" s="12">
        <v>8010016048</v>
      </c>
      <c r="C41" s="30" t="s">
        <v>1373</v>
      </c>
      <c r="D41" s="30"/>
      <c r="E41" s="30"/>
      <c r="F41" s="30"/>
      <c r="G41" s="43">
        <v>46566</v>
      </c>
      <c r="H41" s="31">
        <v>41951.351351351346</v>
      </c>
      <c r="I41" s="13" t="s">
        <v>107</v>
      </c>
      <c r="J41" s="13" t="s">
        <v>108</v>
      </c>
      <c r="K41" s="14" t="s">
        <v>1439</v>
      </c>
      <c r="L41" s="12" t="s">
        <v>1266</v>
      </c>
      <c r="M41" s="12" t="s">
        <v>11</v>
      </c>
      <c r="N41" s="15" t="s">
        <v>1267</v>
      </c>
      <c r="O41" s="15" t="s">
        <v>15</v>
      </c>
      <c r="P41" s="12" t="s">
        <v>1368</v>
      </c>
      <c r="Q41" s="16">
        <v>2958465</v>
      </c>
    </row>
    <row r="42" spans="1:17">
      <c r="A42" s="11">
        <f t="shared" si="0"/>
        <v>41</v>
      </c>
      <c r="B42" s="12">
        <v>8010016049</v>
      </c>
      <c r="C42" s="30" t="s">
        <v>1374</v>
      </c>
      <c r="D42" s="30"/>
      <c r="E42" s="30"/>
      <c r="F42" s="30"/>
      <c r="G42" s="43">
        <v>78397</v>
      </c>
      <c r="H42" s="31">
        <v>70627.927927927929</v>
      </c>
      <c r="I42" s="13" t="s">
        <v>107</v>
      </c>
      <c r="J42" s="13" t="s">
        <v>108</v>
      </c>
      <c r="K42" s="14" t="s">
        <v>1439</v>
      </c>
      <c r="L42" s="12" t="s">
        <v>1266</v>
      </c>
      <c r="M42" s="12" t="s">
        <v>11</v>
      </c>
      <c r="N42" s="15" t="s">
        <v>1267</v>
      </c>
      <c r="O42" s="15" t="s">
        <v>15</v>
      </c>
      <c r="P42" s="12" t="s">
        <v>1368</v>
      </c>
      <c r="Q42" s="16">
        <v>2958465</v>
      </c>
    </row>
    <row r="43" spans="1:17">
      <c r="A43" s="11">
        <f t="shared" si="0"/>
        <v>42</v>
      </c>
      <c r="B43" s="12">
        <v>8010016050</v>
      </c>
      <c r="C43" s="30" t="s">
        <v>1375</v>
      </c>
      <c r="D43" s="30"/>
      <c r="E43" s="30"/>
      <c r="F43" s="30"/>
      <c r="G43" s="43">
        <v>90292</v>
      </c>
      <c r="H43" s="31">
        <v>81344.144144144142</v>
      </c>
      <c r="I43" s="13" t="s">
        <v>107</v>
      </c>
      <c r="J43" s="13" t="s">
        <v>108</v>
      </c>
      <c r="K43" s="14" t="s">
        <v>1439</v>
      </c>
      <c r="L43" s="12" t="s">
        <v>1266</v>
      </c>
      <c r="M43" s="12" t="s">
        <v>11</v>
      </c>
      <c r="N43" s="15" t="s">
        <v>1267</v>
      </c>
      <c r="O43" s="15" t="s">
        <v>15</v>
      </c>
      <c r="P43" s="12" t="s">
        <v>1368</v>
      </c>
      <c r="Q43" s="16">
        <v>2958465</v>
      </c>
    </row>
    <row r="44" spans="1:17">
      <c r="A44" s="11">
        <f t="shared" si="0"/>
        <v>43</v>
      </c>
      <c r="B44" s="12">
        <v>8010016051</v>
      </c>
      <c r="C44" s="30" t="s">
        <v>1376</v>
      </c>
      <c r="D44" s="30"/>
      <c r="E44" s="30"/>
      <c r="F44" s="30"/>
      <c r="G44" s="43">
        <v>149529</v>
      </c>
      <c r="H44" s="31">
        <v>134710.8108108108</v>
      </c>
      <c r="I44" s="13" t="s">
        <v>107</v>
      </c>
      <c r="J44" s="13" t="s">
        <v>108</v>
      </c>
      <c r="K44" s="14" t="s">
        <v>1439</v>
      </c>
      <c r="L44" s="12" t="s">
        <v>1266</v>
      </c>
      <c r="M44" s="12" t="s">
        <v>11</v>
      </c>
      <c r="N44" s="15" t="s">
        <v>1267</v>
      </c>
      <c r="O44" s="15" t="s">
        <v>15</v>
      </c>
      <c r="P44" s="12" t="s">
        <v>1368</v>
      </c>
      <c r="Q44" s="16">
        <v>2958465</v>
      </c>
    </row>
    <row r="45" spans="1:17">
      <c r="A45" s="11">
        <f t="shared" si="0"/>
        <v>44</v>
      </c>
      <c r="B45" s="12">
        <v>8010016052</v>
      </c>
      <c r="C45" s="30" t="s">
        <v>1377</v>
      </c>
      <c r="D45" s="30"/>
      <c r="E45" s="30"/>
      <c r="F45" s="30"/>
      <c r="G45" s="43">
        <v>289817</v>
      </c>
      <c r="H45" s="31">
        <v>261096.39639639636</v>
      </c>
      <c r="I45" s="13" t="s">
        <v>107</v>
      </c>
      <c r="J45" s="13" t="s">
        <v>108</v>
      </c>
      <c r="K45" s="14" t="s">
        <v>1439</v>
      </c>
      <c r="L45" s="12" t="s">
        <v>1266</v>
      </c>
      <c r="M45" s="12" t="s">
        <v>11</v>
      </c>
      <c r="N45" s="15" t="s">
        <v>1267</v>
      </c>
      <c r="O45" s="15" t="s">
        <v>15</v>
      </c>
      <c r="P45" s="12" t="s">
        <v>1368</v>
      </c>
      <c r="Q45" s="16">
        <v>2958465</v>
      </c>
    </row>
    <row r="46" spans="1:17">
      <c r="A46" s="11">
        <f t="shared" si="0"/>
        <v>45</v>
      </c>
      <c r="B46" s="12">
        <v>8010016053</v>
      </c>
      <c r="C46" s="30" t="s">
        <v>1378</v>
      </c>
      <c r="D46" s="30"/>
      <c r="E46" s="30"/>
      <c r="F46" s="30"/>
      <c r="G46" s="43">
        <v>351765</v>
      </c>
      <c r="H46" s="31">
        <v>316905.40540540538</v>
      </c>
      <c r="I46" s="13" t="s">
        <v>107</v>
      </c>
      <c r="J46" s="13" t="s">
        <v>108</v>
      </c>
      <c r="K46" s="14" t="s">
        <v>1439</v>
      </c>
      <c r="L46" s="12" t="s">
        <v>1266</v>
      </c>
      <c r="M46" s="12" t="s">
        <v>11</v>
      </c>
      <c r="N46" s="15" t="s">
        <v>1267</v>
      </c>
      <c r="O46" s="15" t="s">
        <v>15</v>
      </c>
      <c r="P46" s="12" t="s">
        <v>1368</v>
      </c>
      <c r="Q46" s="16">
        <v>2958465</v>
      </c>
    </row>
    <row r="47" spans="1:17">
      <c r="A47" s="11">
        <f t="shared" si="0"/>
        <v>46</v>
      </c>
      <c r="B47" s="12">
        <v>8010016054</v>
      </c>
      <c r="C47" s="30" t="s">
        <v>1379</v>
      </c>
      <c r="D47" s="30"/>
      <c r="E47" s="30"/>
      <c r="F47" s="30"/>
      <c r="G47" s="43">
        <v>681858</v>
      </c>
      <c r="H47" s="31">
        <v>614286.48648648639</v>
      </c>
      <c r="I47" s="13" t="s">
        <v>107</v>
      </c>
      <c r="J47" s="13" t="s">
        <v>108</v>
      </c>
      <c r="K47" s="14" t="s">
        <v>1439</v>
      </c>
      <c r="L47" s="12" t="s">
        <v>1266</v>
      </c>
      <c r="M47" s="12" t="s">
        <v>11</v>
      </c>
      <c r="N47" s="15" t="s">
        <v>1267</v>
      </c>
      <c r="O47" s="15" t="s">
        <v>15</v>
      </c>
      <c r="P47" s="12" t="s">
        <v>1368</v>
      </c>
      <c r="Q47" s="16">
        <v>2958465</v>
      </c>
    </row>
    <row r="48" spans="1:17">
      <c r="A48" s="11">
        <f t="shared" si="0"/>
        <v>47</v>
      </c>
      <c r="B48" s="12">
        <v>8010016055</v>
      </c>
      <c r="C48" s="30" t="s">
        <v>1380</v>
      </c>
      <c r="D48" s="30"/>
      <c r="E48" s="30"/>
      <c r="F48" s="30"/>
      <c r="G48" s="43">
        <v>1054080</v>
      </c>
      <c r="H48" s="31">
        <v>949621.62162162154</v>
      </c>
      <c r="I48" s="13" t="s">
        <v>107</v>
      </c>
      <c r="J48" s="13" t="s">
        <v>108</v>
      </c>
      <c r="K48" s="14" t="s">
        <v>1439</v>
      </c>
      <c r="L48" s="12" t="s">
        <v>1266</v>
      </c>
      <c r="M48" s="12" t="s">
        <v>11</v>
      </c>
      <c r="N48" s="15" t="s">
        <v>1267</v>
      </c>
      <c r="O48" s="15" t="s">
        <v>15</v>
      </c>
      <c r="P48" s="12" t="s">
        <v>1368</v>
      </c>
      <c r="Q48" s="16">
        <v>2958465</v>
      </c>
    </row>
    <row r="49" spans="1:17">
      <c r="A49" s="11">
        <f t="shared" si="0"/>
        <v>48</v>
      </c>
      <c r="B49" s="12">
        <v>8010016056</v>
      </c>
      <c r="C49" s="30" t="s">
        <v>1381</v>
      </c>
      <c r="D49" s="30"/>
      <c r="E49" s="30"/>
      <c r="F49" s="30"/>
      <c r="G49" s="43">
        <v>1191879</v>
      </c>
      <c r="H49" s="31">
        <v>1073764.8648648649</v>
      </c>
      <c r="I49" s="13" t="s">
        <v>107</v>
      </c>
      <c r="J49" s="13" t="s">
        <v>108</v>
      </c>
      <c r="K49" s="14" t="s">
        <v>1439</v>
      </c>
      <c r="L49" s="12" t="s">
        <v>1266</v>
      </c>
      <c r="M49" s="12" t="s">
        <v>11</v>
      </c>
      <c r="N49" s="15" t="s">
        <v>1267</v>
      </c>
      <c r="O49" s="15" t="s">
        <v>15</v>
      </c>
      <c r="P49" s="12" t="s">
        <v>1368</v>
      </c>
      <c r="Q49" s="16">
        <v>2958465</v>
      </c>
    </row>
    <row r="50" spans="1:17">
      <c r="A50" s="11">
        <f t="shared" si="0"/>
        <v>49</v>
      </c>
      <c r="B50" s="12">
        <v>8010016319</v>
      </c>
      <c r="C50" s="30" t="s">
        <v>1331</v>
      </c>
      <c r="D50" s="30"/>
      <c r="E50" s="30"/>
      <c r="F50" s="30"/>
      <c r="G50" s="43">
        <v>77610</v>
      </c>
      <c r="H50" s="31">
        <v>69918.918918918906</v>
      </c>
      <c r="I50" s="13" t="s">
        <v>107</v>
      </c>
      <c r="J50" s="13" t="s">
        <v>108</v>
      </c>
      <c r="K50" s="14" t="s">
        <v>1265</v>
      </c>
      <c r="L50" s="12" t="s">
        <v>1266</v>
      </c>
      <c r="M50" s="12" t="s">
        <v>11</v>
      </c>
      <c r="N50" s="15" t="s">
        <v>1267</v>
      </c>
      <c r="O50" s="15" t="s">
        <v>15</v>
      </c>
      <c r="P50" s="12" t="s">
        <v>1332</v>
      </c>
      <c r="Q50" s="16">
        <v>2958465</v>
      </c>
    </row>
    <row r="51" spans="1:17">
      <c r="A51" s="11">
        <f t="shared" si="0"/>
        <v>50</v>
      </c>
      <c r="B51" s="12">
        <v>8010024192</v>
      </c>
      <c r="C51" s="30" t="s">
        <v>1275</v>
      </c>
      <c r="D51" s="30"/>
      <c r="E51" s="30"/>
      <c r="F51" s="30"/>
      <c r="G51" s="43">
        <v>2060</v>
      </c>
      <c r="H51" s="31">
        <v>1855.8558558558557</v>
      </c>
      <c r="I51" s="13" t="s">
        <v>107</v>
      </c>
      <c r="J51" s="13" t="s">
        <v>108</v>
      </c>
      <c r="K51" s="14" t="s">
        <v>1265</v>
      </c>
      <c r="L51" s="12" t="s">
        <v>1266</v>
      </c>
      <c r="M51" s="12" t="s">
        <v>11</v>
      </c>
      <c r="N51" s="15" t="s">
        <v>1267</v>
      </c>
      <c r="O51" s="15" t="s">
        <v>15</v>
      </c>
      <c r="P51" s="12" t="s">
        <v>16</v>
      </c>
      <c r="Q51" s="16">
        <v>2958465</v>
      </c>
    </row>
    <row r="52" spans="1:17">
      <c r="A52" s="11">
        <f t="shared" si="0"/>
        <v>51</v>
      </c>
      <c r="B52" s="11">
        <v>8010024193</v>
      </c>
      <c r="C52" s="25" t="s">
        <v>178</v>
      </c>
      <c r="D52" s="27">
        <v>2629</v>
      </c>
      <c r="E52" s="11">
        <v>0.56000000000000005</v>
      </c>
      <c r="F52" s="11" t="s">
        <v>11</v>
      </c>
      <c r="G52" s="44">
        <v>1472</v>
      </c>
      <c r="H52" s="28">
        <v>1326.1261261261261</v>
      </c>
      <c r="I52" s="19" t="s">
        <v>107</v>
      </c>
      <c r="J52" s="19" t="s">
        <v>108</v>
      </c>
      <c r="K52" s="32" t="s">
        <v>109</v>
      </c>
      <c r="L52" s="22"/>
      <c r="M52" s="22"/>
      <c r="N52" s="22"/>
      <c r="O52" s="20" t="s">
        <v>15</v>
      </c>
      <c r="P52" s="25" t="s">
        <v>16</v>
      </c>
      <c r="Q52" s="16">
        <v>2958465</v>
      </c>
    </row>
    <row r="53" spans="1:17">
      <c r="A53" s="11">
        <f t="shared" si="0"/>
        <v>52</v>
      </c>
      <c r="B53" s="11">
        <v>8010024194</v>
      </c>
      <c r="C53" s="25" t="s">
        <v>181</v>
      </c>
      <c r="D53" s="27">
        <v>3505</v>
      </c>
      <c r="E53" s="11">
        <v>0.56000000000000005</v>
      </c>
      <c r="F53" s="11" t="s">
        <v>11</v>
      </c>
      <c r="G53" s="44">
        <v>1963</v>
      </c>
      <c r="H53" s="28">
        <v>1768.4684684684682</v>
      </c>
      <c r="I53" s="19" t="s">
        <v>107</v>
      </c>
      <c r="J53" s="19" t="s">
        <v>108</v>
      </c>
      <c r="K53" s="32" t="s">
        <v>109</v>
      </c>
      <c r="L53" s="22"/>
      <c r="M53" s="22"/>
      <c r="N53" s="22"/>
      <c r="O53" s="20" t="s">
        <v>15</v>
      </c>
      <c r="P53" s="25" t="s">
        <v>16</v>
      </c>
      <c r="Q53" s="16">
        <v>2958465</v>
      </c>
    </row>
    <row r="54" spans="1:17">
      <c r="A54" s="11">
        <f t="shared" si="0"/>
        <v>53</v>
      </c>
      <c r="B54" s="11">
        <v>8010024195</v>
      </c>
      <c r="C54" s="25" t="s">
        <v>184</v>
      </c>
      <c r="D54" s="27">
        <v>5267</v>
      </c>
      <c r="E54" s="11">
        <v>0.56000000000000005</v>
      </c>
      <c r="F54" s="11" t="s">
        <v>11</v>
      </c>
      <c r="G54" s="44">
        <v>2950</v>
      </c>
      <c r="H54" s="28">
        <v>2657.6576576576576</v>
      </c>
      <c r="I54" s="19" t="s">
        <v>107</v>
      </c>
      <c r="J54" s="19" t="s">
        <v>108</v>
      </c>
      <c r="K54" s="32" t="s">
        <v>109</v>
      </c>
      <c r="L54" s="22"/>
      <c r="M54" s="22"/>
      <c r="N54" s="22"/>
      <c r="O54" s="20" t="s">
        <v>15</v>
      </c>
      <c r="P54" s="25" t="s">
        <v>16</v>
      </c>
      <c r="Q54" s="16">
        <v>2958465</v>
      </c>
    </row>
    <row r="55" spans="1:17">
      <c r="A55" s="11">
        <f t="shared" si="0"/>
        <v>54</v>
      </c>
      <c r="B55" s="11">
        <v>8010024196</v>
      </c>
      <c r="C55" s="25" t="s">
        <v>185</v>
      </c>
      <c r="D55" s="27">
        <v>5902</v>
      </c>
      <c r="E55" s="11">
        <v>0.56000000000000005</v>
      </c>
      <c r="F55" s="11" t="s">
        <v>11</v>
      </c>
      <c r="G55" s="44">
        <v>3305</v>
      </c>
      <c r="H55" s="28">
        <v>2977.4774774774774</v>
      </c>
      <c r="I55" s="19" t="s">
        <v>107</v>
      </c>
      <c r="J55" s="19" t="s">
        <v>108</v>
      </c>
      <c r="K55" s="32" t="s">
        <v>109</v>
      </c>
      <c r="L55" s="22"/>
      <c r="M55" s="22"/>
      <c r="N55" s="22"/>
      <c r="O55" s="20" t="s">
        <v>15</v>
      </c>
      <c r="P55" s="25" t="s">
        <v>16</v>
      </c>
      <c r="Q55" s="16">
        <v>2958465</v>
      </c>
    </row>
    <row r="56" spans="1:17">
      <c r="A56" s="11">
        <f t="shared" si="0"/>
        <v>55</v>
      </c>
      <c r="B56" s="11">
        <v>8010024197</v>
      </c>
      <c r="C56" s="25" t="s">
        <v>192</v>
      </c>
      <c r="D56" s="27">
        <v>16260</v>
      </c>
      <c r="E56" s="11">
        <v>0.56000000000000005</v>
      </c>
      <c r="F56" s="11" t="s">
        <v>11</v>
      </c>
      <c r="G56" s="44">
        <v>9106</v>
      </c>
      <c r="H56" s="28">
        <v>8203.6036036036021</v>
      </c>
      <c r="I56" s="19" t="s">
        <v>107</v>
      </c>
      <c r="J56" s="19" t="s">
        <v>108</v>
      </c>
      <c r="K56" s="32" t="s">
        <v>109</v>
      </c>
      <c r="L56" s="22"/>
      <c r="M56" s="22"/>
      <c r="N56" s="22"/>
      <c r="O56" s="20" t="s">
        <v>15</v>
      </c>
      <c r="P56" s="25" t="s">
        <v>16</v>
      </c>
      <c r="Q56" s="16">
        <v>2958465</v>
      </c>
    </row>
    <row r="57" spans="1:17">
      <c r="A57" s="11">
        <f t="shared" si="0"/>
        <v>56</v>
      </c>
      <c r="B57" s="11">
        <v>8010024198</v>
      </c>
      <c r="C57" s="25" t="s">
        <v>179</v>
      </c>
      <c r="D57" s="27">
        <v>14410</v>
      </c>
      <c r="E57" s="11">
        <v>0.56000000000000005</v>
      </c>
      <c r="F57" s="11" t="s">
        <v>11</v>
      </c>
      <c r="G57" s="44">
        <v>8070</v>
      </c>
      <c r="H57" s="28">
        <v>7270.27027027027</v>
      </c>
      <c r="I57" s="19" t="s">
        <v>107</v>
      </c>
      <c r="J57" s="19" t="s">
        <v>108</v>
      </c>
      <c r="K57" s="32" t="s">
        <v>109</v>
      </c>
      <c r="L57" s="22"/>
      <c r="M57" s="22"/>
      <c r="N57" s="22"/>
      <c r="O57" s="20" t="s">
        <v>15</v>
      </c>
      <c r="P57" s="25" t="s">
        <v>16</v>
      </c>
      <c r="Q57" s="16">
        <v>2958465</v>
      </c>
    </row>
    <row r="58" spans="1:17">
      <c r="A58" s="11">
        <f t="shared" si="0"/>
        <v>57</v>
      </c>
      <c r="B58" s="12">
        <v>8010024318</v>
      </c>
      <c r="C58" s="30" t="s">
        <v>1276</v>
      </c>
      <c r="D58" s="30"/>
      <c r="E58" s="30"/>
      <c r="F58" s="30"/>
      <c r="G58" s="43">
        <v>2250</v>
      </c>
      <c r="H58" s="31">
        <v>2027.0270270270269</v>
      </c>
      <c r="I58" s="13" t="s">
        <v>107</v>
      </c>
      <c r="J58" s="13" t="s">
        <v>108</v>
      </c>
      <c r="K58" s="14" t="s">
        <v>1265</v>
      </c>
      <c r="L58" s="12" t="s">
        <v>1266</v>
      </c>
      <c r="M58" s="12" t="s">
        <v>11</v>
      </c>
      <c r="N58" s="15" t="s">
        <v>1267</v>
      </c>
      <c r="O58" s="15" t="s">
        <v>15</v>
      </c>
      <c r="P58" s="12" t="s">
        <v>16</v>
      </c>
      <c r="Q58" s="16">
        <v>2958465</v>
      </c>
    </row>
    <row r="59" spans="1:17">
      <c r="A59" s="11">
        <f t="shared" si="0"/>
        <v>58</v>
      </c>
      <c r="B59" s="11">
        <v>8010024319</v>
      </c>
      <c r="C59" s="25" t="s">
        <v>174</v>
      </c>
      <c r="D59" s="27">
        <v>16624</v>
      </c>
      <c r="E59" s="11">
        <v>0.56000000000000005</v>
      </c>
      <c r="F59" s="11" t="s">
        <v>11</v>
      </c>
      <c r="G59" s="44">
        <v>9309</v>
      </c>
      <c r="H59" s="28">
        <v>8386.4864864864849</v>
      </c>
      <c r="I59" s="19" t="s">
        <v>107</v>
      </c>
      <c r="J59" s="19" t="s">
        <v>108</v>
      </c>
      <c r="K59" s="32" t="s">
        <v>109</v>
      </c>
      <c r="L59" s="22"/>
      <c r="M59" s="22"/>
      <c r="N59" s="22"/>
      <c r="O59" s="20" t="s">
        <v>15</v>
      </c>
      <c r="P59" s="25" t="s">
        <v>16</v>
      </c>
      <c r="Q59" s="16">
        <v>2958465</v>
      </c>
    </row>
    <row r="60" spans="1:17">
      <c r="A60" s="11">
        <f t="shared" si="0"/>
        <v>59</v>
      </c>
      <c r="B60" s="11">
        <v>8010024320</v>
      </c>
      <c r="C60" s="25" t="s">
        <v>175</v>
      </c>
      <c r="D60" s="27">
        <v>3603</v>
      </c>
      <c r="E60" s="11">
        <v>0.56000000000000005</v>
      </c>
      <c r="F60" s="11" t="s">
        <v>11</v>
      </c>
      <c r="G60" s="44">
        <v>2018</v>
      </c>
      <c r="H60" s="28">
        <v>1818.0180180180178</v>
      </c>
      <c r="I60" s="19" t="s">
        <v>107</v>
      </c>
      <c r="J60" s="19" t="s">
        <v>108</v>
      </c>
      <c r="K60" s="32" t="s">
        <v>109</v>
      </c>
      <c r="L60" s="22"/>
      <c r="M60" s="22"/>
      <c r="N60" s="22"/>
      <c r="O60" s="20" t="s">
        <v>15</v>
      </c>
      <c r="P60" s="25" t="s">
        <v>16</v>
      </c>
      <c r="Q60" s="16">
        <v>2958465</v>
      </c>
    </row>
    <row r="61" spans="1:17">
      <c r="A61" s="11">
        <f t="shared" si="0"/>
        <v>60</v>
      </c>
      <c r="B61" s="11">
        <v>8010024321</v>
      </c>
      <c r="C61" s="25" t="s">
        <v>182</v>
      </c>
      <c r="D61" s="27">
        <v>8952</v>
      </c>
      <c r="E61" s="11">
        <v>0.56000000000000005</v>
      </c>
      <c r="F61" s="11" t="s">
        <v>11</v>
      </c>
      <c r="G61" s="44">
        <v>5013</v>
      </c>
      <c r="H61" s="28">
        <v>4516.2162162162158</v>
      </c>
      <c r="I61" s="19" t="s">
        <v>107</v>
      </c>
      <c r="J61" s="19" t="s">
        <v>108</v>
      </c>
      <c r="K61" s="32" t="s">
        <v>109</v>
      </c>
      <c r="L61" s="22"/>
      <c r="M61" s="22"/>
      <c r="N61" s="22"/>
      <c r="O61" s="20" t="s">
        <v>15</v>
      </c>
      <c r="P61" s="25" t="s">
        <v>16</v>
      </c>
      <c r="Q61" s="16">
        <v>2958465</v>
      </c>
    </row>
    <row r="62" spans="1:17">
      <c r="A62" s="11">
        <f t="shared" si="0"/>
        <v>61</v>
      </c>
      <c r="B62" s="11">
        <v>8010024322</v>
      </c>
      <c r="C62" s="25" t="s">
        <v>176</v>
      </c>
      <c r="D62" s="27">
        <v>11116</v>
      </c>
      <c r="E62" s="11">
        <v>0.56000000000000005</v>
      </c>
      <c r="F62" s="11" t="s">
        <v>11</v>
      </c>
      <c r="G62" s="44">
        <v>6225</v>
      </c>
      <c r="H62" s="28">
        <v>5608.1081081081074</v>
      </c>
      <c r="I62" s="19" t="s">
        <v>107</v>
      </c>
      <c r="J62" s="19" t="s">
        <v>108</v>
      </c>
      <c r="K62" s="32" t="s">
        <v>109</v>
      </c>
      <c r="L62" s="22"/>
      <c r="M62" s="22"/>
      <c r="N62" s="22"/>
      <c r="O62" s="20" t="s">
        <v>15</v>
      </c>
      <c r="P62" s="25" t="s">
        <v>16</v>
      </c>
      <c r="Q62" s="16">
        <v>2958465</v>
      </c>
    </row>
    <row r="63" spans="1:17">
      <c r="A63" s="11">
        <f t="shared" si="0"/>
        <v>62</v>
      </c>
      <c r="B63" s="11">
        <v>8010024323</v>
      </c>
      <c r="C63" s="25" t="s">
        <v>195</v>
      </c>
      <c r="D63" s="27">
        <v>2726</v>
      </c>
      <c r="E63" s="11">
        <v>0.56000000000000005</v>
      </c>
      <c r="F63" s="11" t="s">
        <v>11</v>
      </c>
      <c r="G63" s="44">
        <v>1527</v>
      </c>
      <c r="H63" s="28">
        <v>1375.6756756756756</v>
      </c>
      <c r="I63" s="19" t="s">
        <v>107</v>
      </c>
      <c r="J63" s="19" t="s">
        <v>108</v>
      </c>
      <c r="K63" s="32" t="s">
        <v>109</v>
      </c>
      <c r="L63" s="22"/>
      <c r="M63" s="22"/>
      <c r="N63" s="22"/>
      <c r="O63" s="20" t="s">
        <v>15</v>
      </c>
      <c r="P63" s="25" t="s">
        <v>16</v>
      </c>
      <c r="Q63" s="16">
        <v>2958465</v>
      </c>
    </row>
    <row r="64" spans="1:17">
      <c r="A64" s="11">
        <f t="shared" si="0"/>
        <v>63</v>
      </c>
      <c r="B64" s="11">
        <v>8010024324</v>
      </c>
      <c r="C64" s="25" t="s">
        <v>186</v>
      </c>
      <c r="D64" s="27">
        <v>6134</v>
      </c>
      <c r="E64" s="11">
        <v>0.56000000000000005</v>
      </c>
      <c r="F64" s="11" t="s">
        <v>11</v>
      </c>
      <c r="G64" s="44">
        <v>3435</v>
      </c>
      <c r="H64" s="28">
        <v>3094.5945945945941</v>
      </c>
      <c r="I64" s="19" t="s">
        <v>107</v>
      </c>
      <c r="J64" s="19" t="s">
        <v>108</v>
      </c>
      <c r="K64" s="32" t="s">
        <v>109</v>
      </c>
      <c r="L64" s="22"/>
      <c r="M64" s="22"/>
      <c r="N64" s="22"/>
      <c r="O64" s="20" t="s">
        <v>15</v>
      </c>
      <c r="P64" s="25" t="s">
        <v>16</v>
      </c>
      <c r="Q64" s="16">
        <v>2958465</v>
      </c>
    </row>
    <row r="65" spans="1:17">
      <c r="A65" s="11">
        <f t="shared" si="0"/>
        <v>64</v>
      </c>
      <c r="B65" s="11">
        <v>8010024325</v>
      </c>
      <c r="C65" s="25" t="s">
        <v>180</v>
      </c>
      <c r="D65" s="27">
        <v>5607</v>
      </c>
      <c r="E65" s="11">
        <v>0.56000000000000005</v>
      </c>
      <c r="F65" s="11" t="s">
        <v>11</v>
      </c>
      <c r="G65" s="44">
        <v>3140</v>
      </c>
      <c r="H65" s="28">
        <v>2828.8288288288286</v>
      </c>
      <c r="I65" s="19" t="s">
        <v>107</v>
      </c>
      <c r="J65" s="19" t="s">
        <v>108</v>
      </c>
      <c r="K65" s="32" t="s">
        <v>109</v>
      </c>
      <c r="L65" s="22"/>
      <c r="M65" s="22"/>
      <c r="N65" s="22"/>
      <c r="O65" s="20" t="s">
        <v>15</v>
      </c>
      <c r="P65" s="25" t="s">
        <v>16</v>
      </c>
      <c r="Q65" s="16">
        <v>2958465</v>
      </c>
    </row>
    <row r="66" spans="1:17">
      <c r="A66" s="11">
        <f t="shared" si="0"/>
        <v>65</v>
      </c>
      <c r="B66" s="11">
        <v>8010024326</v>
      </c>
      <c r="C66" s="25" t="s">
        <v>193</v>
      </c>
      <c r="D66" s="27">
        <v>4571</v>
      </c>
      <c r="E66" s="11">
        <v>0.56000000000000005</v>
      </c>
      <c r="F66" s="11" t="s">
        <v>11</v>
      </c>
      <c r="G66" s="44">
        <v>2560</v>
      </c>
      <c r="H66" s="28">
        <v>2306.3063063063059</v>
      </c>
      <c r="I66" s="19" t="s">
        <v>107</v>
      </c>
      <c r="J66" s="19" t="s">
        <v>108</v>
      </c>
      <c r="K66" s="32" t="s">
        <v>109</v>
      </c>
      <c r="L66" s="22"/>
      <c r="M66" s="22"/>
      <c r="N66" s="22"/>
      <c r="O66" s="20" t="s">
        <v>15</v>
      </c>
      <c r="P66" s="25" t="s">
        <v>16</v>
      </c>
      <c r="Q66" s="16">
        <v>2958465</v>
      </c>
    </row>
    <row r="67" spans="1:17">
      <c r="A67" s="11">
        <f t="shared" si="0"/>
        <v>66</v>
      </c>
      <c r="B67" s="11">
        <v>8010024327</v>
      </c>
      <c r="C67" s="25" t="s">
        <v>194</v>
      </c>
      <c r="D67" s="27">
        <v>23154</v>
      </c>
      <c r="E67" s="11">
        <v>0.56000000000000005</v>
      </c>
      <c r="F67" s="11" t="s">
        <v>11</v>
      </c>
      <c r="G67" s="44">
        <v>12966</v>
      </c>
      <c r="H67" s="28">
        <v>11681.08108108108</v>
      </c>
      <c r="I67" s="19" t="s">
        <v>107</v>
      </c>
      <c r="J67" s="19" t="s">
        <v>108</v>
      </c>
      <c r="K67" s="32" t="s">
        <v>109</v>
      </c>
      <c r="L67" s="22"/>
      <c r="M67" s="22"/>
      <c r="N67" s="22"/>
      <c r="O67" s="20" t="s">
        <v>15</v>
      </c>
      <c r="P67" s="25" t="s">
        <v>16</v>
      </c>
      <c r="Q67" s="16">
        <v>2958465</v>
      </c>
    </row>
    <row r="68" spans="1:17">
      <c r="A68" s="11">
        <f t="shared" si="0"/>
        <v>67</v>
      </c>
      <c r="B68" s="11">
        <v>8010024347</v>
      </c>
      <c r="C68" s="25" t="s">
        <v>187</v>
      </c>
      <c r="D68" s="27">
        <v>3505</v>
      </c>
      <c r="E68" s="11">
        <v>0.56000000000000005</v>
      </c>
      <c r="F68" s="11" t="s">
        <v>11</v>
      </c>
      <c r="G68" s="44">
        <v>1963</v>
      </c>
      <c r="H68" s="28">
        <v>1768.4684684684682</v>
      </c>
      <c r="I68" s="19" t="s">
        <v>107</v>
      </c>
      <c r="J68" s="19" t="s">
        <v>108</v>
      </c>
      <c r="K68" s="32" t="s">
        <v>109</v>
      </c>
      <c r="L68" s="22"/>
      <c r="M68" s="22"/>
      <c r="N68" s="22"/>
      <c r="O68" s="20" t="s">
        <v>15</v>
      </c>
      <c r="P68" s="25" t="s">
        <v>16</v>
      </c>
      <c r="Q68" s="16">
        <v>2958465</v>
      </c>
    </row>
    <row r="69" spans="1:17">
      <c r="A69" s="11">
        <f t="shared" ref="A69:A132" si="1">ROW()-1</f>
        <v>68</v>
      </c>
      <c r="B69" s="11">
        <v>8010024348</v>
      </c>
      <c r="C69" s="25" t="s">
        <v>183</v>
      </c>
      <c r="D69" s="27">
        <v>5160</v>
      </c>
      <c r="E69" s="11">
        <v>0.56000000000000005</v>
      </c>
      <c r="F69" s="11" t="s">
        <v>11</v>
      </c>
      <c r="G69" s="44">
        <v>2890</v>
      </c>
      <c r="H69" s="28">
        <v>2603.6036036036035</v>
      </c>
      <c r="I69" s="19" t="s">
        <v>107</v>
      </c>
      <c r="J69" s="19" t="s">
        <v>108</v>
      </c>
      <c r="K69" s="32" t="s">
        <v>109</v>
      </c>
      <c r="L69" s="22"/>
      <c r="M69" s="22"/>
      <c r="N69" s="22"/>
      <c r="O69" s="20" t="s">
        <v>15</v>
      </c>
      <c r="P69" s="25" t="s">
        <v>16</v>
      </c>
      <c r="Q69" s="16">
        <v>2958465</v>
      </c>
    </row>
    <row r="70" spans="1:17">
      <c r="A70" s="11">
        <f t="shared" si="1"/>
        <v>69</v>
      </c>
      <c r="B70" s="11">
        <v>8010024349</v>
      </c>
      <c r="C70" s="25" t="s">
        <v>177</v>
      </c>
      <c r="D70" s="27">
        <v>18985</v>
      </c>
      <c r="E70" s="11">
        <v>0.56000000000000005</v>
      </c>
      <c r="F70" s="11" t="s">
        <v>11</v>
      </c>
      <c r="G70" s="44">
        <v>10632</v>
      </c>
      <c r="H70" s="28">
        <v>9578.3783783783783</v>
      </c>
      <c r="I70" s="19" t="s">
        <v>107</v>
      </c>
      <c r="J70" s="19" t="s">
        <v>108</v>
      </c>
      <c r="K70" s="32" t="s">
        <v>109</v>
      </c>
      <c r="L70" s="22"/>
      <c r="M70" s="22"/>
      <c r="N70" s="22"/>
      <c r="O70" s="20" t="s">
        <v>15</v>
      </c>
      <c r="P70" s="25" t="s">
        <v>16</v>
      </c>
      <c r="Q70" s="16">
        <v>2958465</v>
      </c>
    </row>
    <row r="71" spans="1:17">
      <c r="A71" s="11">
        <f t="shared" si="1"/>
        <v>70</v>
      </c>
      <c r="B71" s="12">
        <v>8010024350</v>
      </c>
      <c r="C71" s="30" t="s">
        <v>1277</v>
      </c>
      <c r="D71" s="30"/>
      <c r="E71" s="30"/>
      <c r="F71" s="30"/>
      <c r="G71" s="43">
        <v>1273</v>
      </c>
      <c r="H71" s="31">
        <v>1146.8468468468468</v>
      </c>
      <c r="I71" s="13" t="s">
        <v>107</v>
      </c>
      <c r="J71" s="13" t="s">
        <v>108</v>
      </c>
      <c r="K71" s="14" t="s">
        <v>1265</v>
      </c>
      <c r="L71" s="12" t="s">
        <v>1266</v>
      </c>
      <c r="M71" s="12" t="s">
        <v>11</v>
      </c>
      <c r="N71" s="15" t="s">
        <v>1267</v>
      </c>
      <c r="O71" s="15" t="s">
        <v>15</v>
      </c>
      <c r="P71" s="12" t="s">
        <v>16</v>
      </c>
      <c r="Q71" s="16">
        <v>2958465</v>
      </c>
    </row>
    <row r="72" spans="1:17">
      <c r="A72" s="11">
        <f t="shared" si="1"/>
        <v>71</v>
      </c>
      <c r="B72" s="12">
        <v>8010024351</v>
      </c>
      <c r="C72" s="30" t="s">
        <v>1278</v>
      </c>
      <c r="D72" s="30"/>
      <c r="E72" s="30"/>
      <c r="F72" s="30"/>
      <c r="G72" s="43">
        <v>1532</v>
      </c>
      <c r="H72" s="31">
        <v>1380.1801801801801</v>
      </c>
      <c r="I72" s="13" t="s">
        <v>107</v>
      </c>
      <c r="J72" s="13" t="s">
        <v>108</v>
      </c>
      <c r="K72" s="14" t="s">
        <v>1265</v>
      </c>
      <c r="L72" s="12" t="s">
        <v>1266</v>
      </c>
      <c r="M72" s="12" t="s">
        <v>11</v>
      </c>
      <c r="N72" s="15" t="s">
        <v>1267</v>
      </c>
      <c r="O72" s="15" t="s">
        <v>15</v>
      </c>
      <c r="P72" s="12" t="s">
        <v>16</v>
      </c>
      <c r="Q72" s="16">
        <v>2958465</v>
      </c>
    </row>
    <row r="73" spans="1:17">
      <c r="A73" s="11">
        <f t="shared" si="1"/>
        <v>72</v>
      </c>
      <c r="B73" s="11">
        <v>8010024352</v>
      </c>
      <c r="C73" s="25" t="s">
        <v>188</v>
      </c>
      <c r="D73" s="27">
        <v>8049</v>
      </c>
      <c r="E73" s="11">
        <v>0.56000000000000005</v>
      </c>
      <c r="F73" s="11" t="s">
        <v>11</v>
      </c>
      <c r="G73" s="44">
        <v>4507</v>
      </c>
      <c r="H73" s="28">
        <v>4060.3603603603601</v>
      </c>
      <c r="I73" s="19" t="s">
        <v>107</v>
      </c>
      <c r="J73" s="19" t="s">
        <v>108</v>
      </c>
      <c r="K73" s="32" t="s">
        <v>109</v>
      </c>
      <c r="L73" s="22"/>
      <c r="M73" s="22"/>
      <c r="N73" s="22"/>
      <c r="O73" s="20" t="s">
        <v>15</v>
      </c>
      <c r="P73" s="25" t="s">
        <v>16</v>
      </c>
      <c r="Q73" s="16">
        <v>2958465</v>
      </c>
    </row>
    <row r="74" spans="1:17">
      <c r="A74" s="11">
        <f t="shared" si="1"/>
        <v>73</v>
      </c>
      <c r="B74" s="11">
        <v>8010024353</v>
      </c>
      <c r="C74" s="25" t="s">
        <v>189</v>
      </c>
      <c r="D74" s="27">
        <v>26533</v>
      </c>
      <c r="E74" s="11">
        <v>0.56000000000000005</v>
      </c>
      <c r="F74" s="11" t="s">
        <v>11</v>
      </c>
      <c r="G74" s="44">
        <v>14858</v>
      </c>
      <c r="H74" s="28">
        <v>13385.585585585584</v>
      </c>
      <c r="I74" s="19" t="s">
        <v>107</v>
      </c>
      <c r="J74" s="19" t="s">
        <v>108</v>
      </c>
      <c r="K74" s="32" t="s">
        <v>109</v>
      </c>
      <c r="L74" s="22"/>
      <c r="M74" s="22"/>
      <c r="N74" s="22"/>
      <c r="O74" s="20" t="s">
        <v>15</v>
      </c>
      <c r="P74" s="25" t="s">
        <v>16</v>
      </c>
      <c r="Q74" s="16">
        <v>2958465</v>
      </c>
    </row>
    <row r="75" spans="1:17">
      <c r="A75" s="11">
        <f t="shared" si="1"/>
        <v>74</v>
      </c>
      <c r="B75" s="11">
        <v>8010024354</v>
      </c>
      <c r="C75" s="25" t="s">
        <v>190</v>
      </c>
      <c r="D75" s="27">
        <v>43676</v>
      </c>
      <c r="E75" s="11">
        <v>0.56000000000000005</v>
      </c>
      <c r="F75" s="11" t="s">
        <v>11</v>
      </c>
      <c r="G75" s="44">
        <v>24459</v>
      </c>
      <c r="H75" s="28">
        <v>22035.135135135133</v>
      </c>
      <c r="I75" s="19" t="s">
        <v>107</v>
      </c>
      <c r="J75" s="19" t="s">
        <v>108</v>
      </c>
      <c r="K75" s="32" t="s">
        <v>109</v>
      </c>
      <c r="L75" s="22"/>
      <c r="M75" s="22"/>
      <c r="N75" s="22"/>
      <c r="O75" s="20" t="s">
        <v>15</v>
      </c>
      <c r="P75" s="25" t="s">
        <v>16</v>
      </c>
      <c r="Q75" s="16">
        <v>2958465</v>
      </c>
    </row>
    <row r="76" spans="1:17">
      <c r="A76" s="11">
        <f t="shared" si="1"/>
        <v>75</v>
      </c>
      <c r="B76" s="11">
        <v>8010024355</v>
      </c>
      <c r="C76" s="25" t="s">
        <v>191</v>
      </c>
      <c r="D76" s="27">
        <v>79938</v>
      </c>
      <c r="E76" s="11">
        <v>0.56000000000000005</v>
      </c>
      <c r="F76" s="11" t="s">
        <v>11</v>
      </c>
      <c r="G76" s="44">
        <v>44765</v>
      </c>
      <c r="H76" s="28">
        <v>40328.828828828824</v>
      </c>
      <c r="I76" s="19" t="s">
        <v>107</v>
      </c>
      <c r="J76" s="19" t="s">
        <v>108</v>
      </c>
      <c r="K76" s="32" t="s">
        <v>109</v>
      </c>
      <c r="L76" s="22"/>
      <c r="M76" s="22"/>
      <c r="N76" s="22"/>
      <c r="O76" s="20" t="s">
        <v>15</v>
      </c>
      <c r="P76" s="25" t="s">
        <v>16</v>
      </c>
      <c r="Q76" s="16">
        <v>2958465</v>
      </c>
    </row>
    <row r="77" spans="1:17">
      <c r="A77" s="11">
        <f t="shared" si="1"/>
        <v>76</v>
      </c>
      <c r="B77" s="12">
        <v>8010024356</v>
      </c>
      <c r="C77" s="30" t="s">
        <v>1279</v>
      </c>
      <c r="D77" s="30"/>
      <c r="E77" s="30"/>
      <c r="F77" s="30"/>
      <c r="G77" s="43">
        <v>1630</v>
      </c>
      <c r="H77" s="31">
        <v>1468.4684684684682</v>
      </c>
      <c r="I77" s="13" t="s">
        <v>107</v>
      </c>
      <c r="J77" s="13" t="s">
        <v>108</v>
      </c>
      <c r="K77" s="14" t="s">
        <v>1265</v>
      </c>
      <c r="L77" s="12" t="s">
        <v>1266</v>
      </c>
      <c r="M77" s="12" t="s">
        <v>11</v>
      </c>
      <c r="N77" s="15" t="s">
        <v>1267</v>
      </c>
      <c r="O77" s="15" t="s">
        <v>15</v>
      </c>
      <c r="P77" s="12" t="s">
        <v>16</v>
      </c>
      <c r="Q77" s="16">
        <v>2958465</v>
      </c>
    </row>
    <row r="78" spans="1:17">
      <c r="A78" s="11">
        <f t="shared" si="1"/>
        <v>77</v>
      </c>
      <c r="B78" s="12">
        <v>8010024357</v>
      </c>
      <c r="C78" s="30" t="s">
        <v>1280</v>
      </c>
      <c r="D78" s="30"/>
      <c r="E78" s="30"/>
      <c r="F78" s="30"/>
      <c r="G78" s="43">
        <v>3304</v>
      </c>
      <c r="H78" s="31">
        <v>2976.5765765765764</v>
      </c>
      <c r="I78" s="13" t="s">
        <v>107</v>
      </c>
      <c r="J78" s="13" t="s">
        <v>108</v>
      </c>
      <c r="K78" s="14" t="s">
        <v>1265</v>
      </c>
      <c r="L78" s="12" t="s">
        <v>1266</v>
      </c>
      <c r="M78" s="12" t="s">
        <v>11</v>
      </c>
      <c r="N78" s="15" t="s">
        <v>1267</v>
      </c>
      <c r="O78" s="15" t="s">
        <v>15</v>
      </c>
      <c r="P78" s="12" t="s">
        <v>16</v>
      </c>
      <c r="Q78" s="16">
        <v>2958465</v>
      </c>
    </row>
    <row r="79" spans="1:17">
      <c r="A79" s="11">
        <f t="shared" si="1"/>
        <v>78</v>
      </c>
      <c r="B79" s="11">
        <v>8010024358</v>
      </c>
      <c r="C79" s="25" t="s">
        <v>219</v>
      </c>
      <c r="D79" s="27">
        <v>11229</v>
      </c>
      <c r="E79" s="11">
        <v>0.56000000000000005</v>
      </c>
      <c r="F79" s="11" t="s">
        <v>11</v>
      </c>
      <c r="G79" s="44">
        <v>6288</v>
      </c>
      <c r="H79" s="28">
        <v>5664.8648648648641</v>
      </c>
      <c r="I79" s="19" t="s">
        <v>107</v>
      </c>
      <c r="J79" s="19" t="s">
        <v>108</v>
      </c>
      <c r="K79" s="32" t="s">
        <v>109</v>
      </c>
      <c r="L79" s="22"/>
      <c r="M79" s="22"/>
      <c r="N79" s="22"/>
      <c r="O79" s="20" t="s">
        <v>15</v>
      </c>
      <c r="P79" s="25" t="s">
        <v>16</v>
      </c>
      <c r="Q79" s="16">
        <v>2958465</v>
      </c>
    </row>
    <row r="80" spans="1:17">
      <c r="A80" s="11">
        <f t="shared" si="1"/>
        <v>79</v>
      </c>
      <c r="B80" s="11">
        <v>8010024359</v>
      </c>
      <c r="C80" s="25" t="s">
        <v>220</v>
      </c>
      <c r="D80" s="27">
        <v>14755</v>
      </c>
      <c r="E80" s="11">
        <v>0.56000000000000005</v>
      </c>
      <c r="F80" s="11" t="s">
        <v>11</v>
      </c>
      <c r="G80" s="44">
        <v>8263</v>
      </c>
      <c r="H80" s="28">
        <v>7444.1441441441439</v>
      </c>
      <c r="I80" s="19" t="s">
        <v>107</v>
      </c>
      <c r="J80" s="19" t="s">
        <v>108</v>
      </c>
      <c r="K80" s="32" t="s">
        <v>109</v>
      </c>
      <c r="L80" s="22"/>
      <c r="M80" s="22"/>
      <c r="N80" s="22"/>
      <c r="O80" s="20" t="s">
        <v>15</v>
      </c>
      <c r="P80" s="25" t="s">
        <v>16</v>
      </c>
      <c r="Q80" s="16">
        <v>2958465</v>
      </c>
    </row>
    <row r="81" spans="1:17">
      <c r="A81" s="11">
        <f t="shared" si="1"/>
        <v>80</v>
      </c>
      <c r="B81" s="11">
        <v>8010024360</v>
      </c>
      <c r="C81" s="25" t="s">
        <v>221</v>
      </c>
      <c r="D81" s="27">
        <v>23412</v>
      </c>
      <c r="E81" s="11">
        <v>0.56000000000000005</v>
      </c>
      <c r="F81" s="11" t="s">
        <v>11</v>
      </c>
      <c r="G81" s="44">
        <v>13111</v>
      </c>
      <c r="H81" s="28">
        <v>11811.71171171171</v>
      </c>
      <c r="I81" s="19" t="s">
        <v>107</v>
      </c>
      <c r="J81" s="19" t="s">
        <v>108</v>
      </c>
      <c r="K81" s="32" t="s">
        <v>109</v>
      </c>
      <c r="L81" s="22"/>
      <c r="M81" s="22"/>
      <c r="N81" s="22"/>
      <c r="O81" s="20" t="s">
        <v>15</v>
      </c>
      <c r="P81" s="25" t="s">
        <v>16</v>
      </c>
      <c r="Q81" s="16">
        <v>2958465</v>
      </c>
    </row>
    <row r="82" spans="1:17">
      <c r="A82" s="11">
        <f t="shared" si="1"/>
        <v>81</v>
      </c>
      <c r="B82" s="11">
        <v>8010024361</v>
      </c>
      <c r="C82" s="25" t="s">
        <v>222</v>
      </c>
      <c r="D82" s="27">
        <v>38557</v>
      </c>
      <c r="E82" s="11">
        <v>0.56000000000000005</v>
      </c>
      <c r="F82" s="11" t="s">
        <v>11</v>
      </c>
      <c r="G82" s="44">
        <v>21592</v>
      </c>
      <c r="H82" s="28">
        <v>19452.252252252252</v>
      </c>
      <c r="I82" s="19" t="s">
        <v>107</v>
      </c>
      <c r="J82" s="19" t="s">
        <v>108</v>
      </c>
      <c r="K82" s="32" t="s">
        <v>109</v>
      </c>
      <c r="L82" s="22"/>
      <c r="M82" s="22"/>
      <c r="N82" s="22"/>
      <c r="O82" s="20" t="s">
        <v>15</v>
      </c>
      <c r="P82" s="25" t="s">
        <v>16</v>
      </c>
      <c r="Q82" s="16">
        <v>2958465</v>
      </c>
    </row>
    <row r="83" spans="1:17">
      <c r="A83" s="11">
        <f t="shared" si="1"/>
        <v>82</v>
      </c>
      <c r="B83" s="11">
        <v>8010024362</v>
      </c>
      <c r="C83" s="25" t="s">
        <v>223</v>
      </c>
      <c r="D83" s="27">
        <v>53907</v>
      </c>
      <c r="E83" s="11">
        <v>0.56000000000000005</v>
      </c>
      <c r="F83" s="11" t="s">
        <v>11</v>
      </c>
      <c r="G83" s="44">
        <v>30188</v>
      </c>
      <c r="H83" s="28">
        <v>27196.396396396394</v>
      </c>
      <c r="I83" s="19" t="s">
        <v>107</v>
      </c>
      <c r="J83" s="19" t="s">
        <v>108</v>
      </c>
      <c r="K83" s="32" t="s">
        <v>109</v>
      </c>
      <c r="L83" s="22"/>
      <c r="M83" s="22"/>
      <c r="N83" s="22"/>
      <c r="O83" s="20" t="s">
        <v>15</v>
      </c>
      <c r="P83" s="25" t="s">
        <v>16</v>
      </c>
      <c r="Q83" s="16">
        <v>2958465</v>
      </c>
    </row>
    <row r="84" spans="1:17">
      <c r="A84" s="11">
        <f t="shared" si="1"/>
        <v>83</v>
      </c>
      <c r="B84" s="11">
        <v>8010024363</v>
      </c>
      <c r="C84" s="25" t="s">
        <v>224</v>
      </c>
      <c r="D84" s="27">
        <v>106518</v>
      </c>
      <c r="E84" s="11">
        <v>0.56000000000000005</v>
      </c>
      <c r="F84" s="11" t="s">
        <v>11</v>
      </c>
      <c r="G84" s="44">
        <v>59650</v>
      </c>
      <c r="H84" s="28">
        <v>53738.738738738735</v>
      </c>
      <c r="I84" s="19" t="s">
        <v>107</v>
      </c>
      <c r="J84" s="19" t="s">
        <v>108</v>
      </c>
      <c r="K84" s="32" t="s">
        <v>109</v>
      </c>
      <c r="L84" s="22"/>
      <c r="M84" s="22"/>
      <c r="N84" s="22"/>
      <c r="O84" s="20" t="s">
        <v>15</v>
      </c>
      <c r="P84" s="25" t="s">
        <v>16</v>
      </c>
      <c r="Q84" s="16">
        <v>2958465</v>
      </c>
    </row>
    <row r="85" spans="1:17">
      <c r="A85" s="11">
        <f t="shared" si="1"/>
        <v>84</v>
      </c>
      <c r="B85" s="11">
        <v>8010024364</v>
      </c>
      <c r="C85" s="25" t="s">
        <v>225</v>
      </c>
      <c r="D85" s="27">
        <v>3992</v>
      </c>
      <c r="E85" s="11">
        <v>0.56000000000000005</v>
      </c>
      <c r="F85" s="11" t="s">
        <v>11</v>
      </c>
      <c r="G85" s="44">
        <v>2236</v>
      </c>
      <c r="H85" s="28">
        <v>2014.4144144144143</v>
      </c>
      <c r="I85" s="19" t="s">
        <v>107</v>
      </c>
      <c r="J85" s="19" t="s">
        <v>108</v>
      </c>
      <c r="K85" s="32" t="s">
        <v>109</v>
      </c>
      <c r="L85" s="22"/>
      <c r="M85" s="22"/>
      <c r="N85" s="22"/>
      <c r="O85" s="20" t="s">
        <v>15</v>
      </c>
      <c r="P85" s="25" t="s">
        <v>16</v>
      </c>
      <c r="Q85" s="16">
        <v>2958465</v>
      </c>
    </row>
    <row r="86" spans="1:17">
      <c r="A86" s="11">
        <f t="shared" si="1"/>
        <v>85</v>
      </c>
      <c r="B86" s="11">
        <v>8010024365</v>
      </c>
      <c r="C86" s="25" t="s">
        <v>226</v>
      </c>
      <c r="D86" s="27">
        <v>2142</v>
      </c>
      <c r="E86" s="11">
        <v>0.56000000000000005</v>
      </c>
      <c r="F86" s="11" t="s">
        <v>11</v>
      </c>
      <c r="G86" s="44">
        <v>1200</v>
      </c>
      <c r="H86" s="28">
        <v>1081.081081081081</v>
      </c>
      <c r="I86" s="19" t="s">
        <v>107</v>
      </c>
      <c r="J86" s="19" t="s">
        <v>108</v>
      </c>
      <c r="K86" s="32" t="s">
        <v>109</v>
      </c>
      <c r="L86" s="22"/>
      <c r="M86" s="22"/>
      <c r="N86" s="22"/>
      <c r="O86" s="20" t="s">
        <v>15</v>
      </c>
      <c r="P86" s="25" t="s">
        <v>16</v>
      </c>
      <c r="Q86" s="16">
        <v>2958465</v>
      </c>
    </row>
    <row r="87" spans="1:17">
      <c r="A87" s="11">
        <f t="shared" si="1"/>
        <v>86</v>
      </c>
      <c r="B87" s="11">
        <v>8010024366</v>
      </c>
      <c r="C87" s="25" t="s">
        <v>227</v>
      </c>
      <c r="D87" s="27">
        <v>6857</v>
      </c>
      <c r="E87" s="11">
        <v>0.56000000000000005</v>
      </c>
      <c r="F87" s="11" t="s">
        <v>11</v>
      </c>
      <c r="G87" s="44">
        <v>3840</v>
      </c>
      <c r="H87" s="28">
        <v>3459.4594594594591</v>
      </c>
      <c r="I87" s="19" t="s">
        <v>107</v>
      </c>
      <c r="J87" s="19" t="s">
        <v>108</v>
      </c>
      <c r="K87" s="32" t="s">
        <v>109</v>
      </c>
      <c r="L87" s="22"/>
      <c r="M87" s="22"/>
      <c r="N87" s="22"/>
      <c r="O87" s="20" t="s">
        <v>15</v>
      </c>
      <c r="P87" s="25" t="s">
        <v>16</v>
      </c>
      <c r="Q87" s="16">
        <v>2958465</v>
      </c>
    </row>
    <row r="88" spans="1:17">
      <c r="A88" s="11">
        <f t="shared" si="1"/>
        <v>87</v>
      </c>
      <c r="B88" s="11">
        <v>8010024367</v>
      </c>
      <c r="C88" s="25" t="s">
        <v>228</v>
      </c>
      <c r="D88" s="27">
        <v>7673</v>
      </c>
      <c r="E88" s="11">
        <v>0.56000000000000005</v>
      </c>
      <c r="F88" s="11" t="s">
        <v>11</v>
      </c>
      <c r="G88" s="44">
        <v>4297</v>
      </c>
      <c r="H88" s="28">
        <v>3871.171171171171</v>
      </c>
      <c r="I88" s="19" t="s">
        <v>107</v>
      </c>
      <c r="J88" s="19" t="s">
        <v>108</v>
      </c>
      <c r="K88" s="32" t="s">
        <v>109</v>
      </c>
      <c r="L88" s="22"/>
      <c r="M88" s="22"/>
      <c r="N88" s="22"/>
      <c r="O88" s="20" t="s">
        <v>15</v>
      </c>
      <c r="P88" s="25" t="s">
        <v>16</v>
      </c>
      <c r="Q88" s="16">
        <v>2958465</v>
      </c>
    </row>
    <row r="89" spans="1:17">
      <c r="A89" s="11">
        <f t="shared" si="1"/>
        <v>88</v>
      </c>
      <c r="B89" s="11">
        <v>8010024368</v>
      </c>
      <c r="C89" s="25" t="s">
        <v>229</v>
      </c>
      <c r="D89" s="27">
        <v>6329</v>
      </c>
      <c r="E89" s="11">
        <v>0.56000000000000005</v>
      </c>
      <c r="F89" s="11" t="s">
        <v>11</v>
      </c>
      <c r="G89" s="44">
        <v>3544</v>
      </c>
      <c r="H89" s="28">
        <v>3192.7927927927926</v>
      </c>
      <c r="I89" s="19" t="s">
        <v>107</v>
      </c>
      <c r="J89" s="19" t="s">
        <v>108</v>
      </c>
      <c r="K89" s="32" t="s">
        <v>109</v>
      </c>
      <c r="L89" s="22"/>
      <c r="M89" s="22"/>
      <c r="N89" s="22"/>
      <c r="O89" s="20" t="s">
        <v>15</v>
      </c>
      <c r="P89" s="25" t="s">
        <v>16</v>
      </c>
      <c r="Q89" s="16">
        <v>2958465</v>
      </c>
    </row>
    <row r="90" spans="1:17">
      <c r="A90" s="11">
        <f t="shared" si="1"/>
        <v>89</v>
      </c>
      <c r="B90" s="11">
        <v>8010024369</v>
      </c>
      <c r="C90" s="25" t="s">
        <v>230</v>
      </c>
      <c r="D90" s="27">
        <v>9043</v>
      </c>
      <c r="E90" s="11">
        <v>0.56000000000000005</v>
      </c>
      <c r="F90" s="11" t="s">
        <v>11</v>
      </c>
      <c r="G90" s="44">
        <v>5064</v>
      </c>
      <c r="H90" s="28">
        <v>4562.1621621621616</v>
      </c>
      <c r="I90" s="19" t="s">
        <v>107</v>
      </c>
      <c r="J90" s="19" t="s">
        <v>108</v>
      </c>
      <c r="K90" s="32" t="s">
        <v>109</v>
      </c>
      <c r="L90" s="22"/>
      <c r="M90" s="22"/>
      <c r="N90" s="22"/>
      <c r="O90" s="20" t="s">
        <v>15</v>
      </c>
      <c r="P90" s="25" t="s">
        <v>16</v>
      </c>
      <c r="Q90" s="16">
        <v>2958465</v>
      </c>
    </row>
    <row r="91" spans="1:17">
      <c r="A91" s="11">
        <f t="shared" si="1"/>
        <v>90</v>
      </c>
      <c r="B91" s="11">
        <v>8010024370</v>
      </c>
      <c r="C91" s="25" t="s">
        <v>231</v>
      </c>
      <c r="D91" s="27">
        <v>12395</v>
      </c>
      <c r="E91" s="11">
        <v>0.56000000000000005</v>
      </c>
      <c r="F91" s="11" t="s">
        <v>11</v>
      </c>
      <c r="G91" s="44">
        <v>6941</v>
      </c>
      <c r="H91" s="28">
        <v>6253.1531531531527</v>
      </c>
      <c r="I91" s="19" t="s">
        <v>107</v>
      </c>
      <c r="J91" s="19" t="s">
        <v>108</v>
      </c>
      <c r="K91" s="32" t="s">
        <v>109</v>
      </c>
      <c r="L91" s="22"/>
      <c r="M91" s="22"/>
      <c r="N91" s="22"/>
      <c r="O91" s="20" t="s">
        <v>15</v>
      </c>
      <c r="P91" s="25" t="s">
        <v>16</v>
      </c>
      <c r="Q91" s="16">
        <v>2958465</v>
      </c>
    </row>
    <row r="92" spans="1:17">
      <c r="A92" s="11">
        <f t="shared" si="1"/>
        <v>91</v>
      </c>
      <c r="B92" s="11">
        <v>8010024371</v>
      </c>
      <c r="C92" s="25" t="s">
        <v>232</v>
      </c>
      <c r="D92" s="27">
        <v>12395</v>
      </c>
      <c r="E92" s="11">
        <v>0.56000000000000005</v>
      </c>
      <c r="F92" s="11" t="s">
        <v>11</v>
      </c>
      <c r="G92" s="44">
        <v>6941</v>
      </c>
      <c r="H92" s="28">
        <v>6253.1531531531527</v>
      </c>
      <c r="I92" s="19" t="s">
        <v>107</v>
      </c>
      <c r="J92" s="19" t="s">
        <v>108</v>
      </c>
      <c r="K92" s="32" t="s">
        <v>109</v>
      </c>
      <c r="L92" s="22"/>
      <c r="M92" s="22"/>
      <c r="N92" s="22"/>
      <c r="O92" s="20" t="s">
        <v>15</v>
      </c>
      <c r="P92" s="25" t="s">
        <v>16</v>
      </c>
      <c r="Q92" s="16">
        <v>2958465</v>
      </c>
    </row>
    <row r="93" spans="1:17">
      <c r="A93" s="11">
        <f t="shared" si="1"/>
        <v>92</v>
      </c>
      <c r="B93" s="11">
        <v>8010024372</v>
      </c>
      <c r="C93" s="25" t="s">
        <v>233</v>
      </c>
      <c r="D93" s="27">
        <v>13280</v>
      </c>
      <c r="E93" s="11">
        <v>0.56000000000000005</v>
      </c>
      <c r="F93" s="11" t="s">
        <v>11</v>
      </c>
      <c r="G93" s="44">
        <v>7437</v>
      </c>
      <c r="H93" s="28">
        <v>6699.9999999999991</v>
      </c>
      <c r="I93" s="19" t="s">
        <v>107</v>
      </c>
      <c r="J93" s="19" t="s">
        <v>108</v>
      </c>
      <c r="K93" s="32" t="s">
        <v>109</v>
      </c>
      <c r="L93" s="22"/>
      <c r="M93" s="22"/>
      <c r="N93" s="22"/>
      <c r="O93" s="20" t="s">
        <v>15</v>
      </c>
      <c r="P93" s="25" t="s">
        <v>16</v>
      </c>
      <c r="Q93" s="16">
        <v>2958465</v>
      </c>
    </row>
    <row r="94" spans="1:17">
      <c r="A94" s="11">
        <f t="shared" si="1"/>
        <v>93</v>
      </c>
      <c r="B94" s="11">
        <v>8010024373</v>
      </c>
      <c r="C94" s="25" t="s">
        <v>234</v>
      </c>
      <c r="D94" s="27">
        <v>14755</v>
      </c>
      <c r="E94" s="11">
        <v>0.56000000000000005</v>
      </c>
      <c r="F94" s="11" t="s">
        <v>11</v>
      </c>
      <c r="G94" s="44">
        <v>8263</v>
      </c>
      <c r="H94" s="28">
        <v>7444.1441441441439</v>
      </c>
      <c r="I94" s="19" t="s">
        <v>107</v>
      </c>
      <c r="J94" s="19" t="s">
        <v>108</v>
      </c>
      <c r="K94" s="32" t="s">
        <v>109</v>
      </c>
      <c r="L94" s="22"/>
      <c r="M94" s="22"/>
      <c r="N94" s="22"/>
      <c r="O94" s="20" t="s">
        <v>15</v>
      </c>
      <c r="P94" s="25" t="s">
        <v>16</v>
      </c>
      <c r="Q94" s="16">
        <v>2958465</v>
      </c>
    </row>
    <row r="95" spans="1:17">
      <c r="A95" s="11">
        <f t="shared" si="1"/>
        <v>94</v>
      </c>
      <c r="B95" s="11">
        <v>8010024374</v>
      </c>
      <c r="C95" s="25" t="s">
        <v>235</v>
      </c>
      <c r="D95" s="27">
        <v>14854</v>
      </c>
      <c r="E95" s="11">
        <v>0.56000000000000005</v>
      </c>
      <c r="F95" s="11" t="s">
        <v>11</v>
      </c>
      <c r="G95" s="44">
        <v>8318</v>
      </c>
      <c r="H95" s="28">
        <v>7493.6936936936927</v>
      </c>
      <c r="I95" s="19" t="s">
        <v>107</v>
      </c>
      <c r="J95" s="19" t="s">
        <v>108</v>
      </c>
      <c r="K95" s="32" t="s">
        <v>109</v>
      </c>
      <c r="L95" s="22"/>
      <c r="M95" s="22"/>
      <c r="N95" s="22"/>
      <c r="O95" s="20" t="s">
        <v>15</v>
      </c>
      <c r="P95" s="25" t="s">
        <v>16</v>
      </c>
      <c r="Q95" s="16">
        <v>2958465</v>
      </c>
    </row>
    <row r="96" spans="1:17">
      <c r="A96" s="11">
        <f t="shared" si="1"/>
        <v>95</v>
      </c>
      <c r="B96" s="11">
        <v>8010024375</v>
      </c>
      <c r="C96" s="25" t="s">
        <v>236</v>
      </c>
      <c r="D96" s="27">
        <v>15051</v>
      </c>
      <c r="E96" s="11">
        <v>0.56000000000000005</v>
      </c>
      <c r="F96" s="11" t="s">
        <v>11</v>
      </c>
      <c r="G96" s="44">
        <v>8429</v>
      </c>
      <c r="H96" s="28">
        <v>7593.6936936936927</v>
      </c>
      <c r="I96" s="19" t="s">
        <v>107</v>
      </c>
      <c r="J96" s="19" t="s">
        <v>108</v>
      </c>
      <c r="K96" s="32" t="s">
        <v>109</v>
      </c>
      <c r="L96" s="22"/>
      <c r="M96" s="22"/>
      <c r="N96" s="22"/>
      <c r="O96" s="20" t="s">
        <v>15</v>
      </c>
      <c r="P96" s="25" t="s">
        <v>16</v>
      </c>
      <c r="Q96" s="16">
        <v>2958465</v>
      </c>
    </row>
    <row r="97" spans="1:17">
      <c r="A97" s="11">
        <f t="shared" si="1"/>
        <v>96</v>
      </c>
      <c r="B97" s="11">
        <v>8010024376</v>
      </c>
      <c r="C97" s="25" t="s">
        <v>237</v>
      </c>
      <c r="D97" s="27">
        <v>15481</v>
      </c>
      <c r="E97" s="11">
        <v>0.56000000000000005</v>
      </c>
      <c r="F97" s="11" t="s">
        <v>11</v>
      </c>
      <c r="G97" s="44">
        <v>8669</v>
      </c>
      <c r="H97" s="28">
        <v>7809.9099099099094</v>
      </c>
      <c r="I97" s="19" t="s">
        <v>107</v>
      </c>
      <c r="J97" s="19" t="s">
        <v>108</v>
      </c>
      <c r="K97" s="32" t="s">
        <v>109</v>
      </c>
      <c r="L97" s="22"/>
      <c r="M97" s="22"/>
      <c r="N97" s="22"/>
      <c r="O97" s="20" t="s">
        <v>15</v>
      </c>
      <c r="P97" s="25" t="s">
        <v>16</v>
      </c>
      <c r="Q97" s="16">
        <v>2958465</v>
      </c>
    </row>
    <row r="98" spans="1:17">
      <c r="A98" s="11">
        <f t="shared" si="1"/>
        <v>97</v>
      </c>
      <c r="B98" s="11">
        <v>8010024377</v>
      </c>
      <c r="C98" s="25" t="s">
        <v>238</v>
      </c>
      <c r="D98" s="27">
        <v>21564</v>
      </c>
      <c r="E98" s="11">
        <v>0.56000000000000005</v>
      </c>
      <c r="F98" s="11" t="s">
        <v>11</v>
      </c>
      <c r="G98" s="44">
        <v>12076</v>
      </c>
      <c r="H98" s="28">
        <v>10879.279279279279</v>
      </c>
      <c r="I98" s="19" t="s">
        <v>107</v>
      </c>
      <c r="J98" s="19" t="s">
        <v>108</v>
      </c>
      <c r="K98" s="32" t="s">
        <v>109</v>
      </c>
      <c r="L98" s="22"/>
      <c r="M98" s="22"/>
      <c r="N98" s="22"/>
      <c r="O98" s="20" t="s">
        <v>15</v>
      </c>
      <c r="P98" s="25" t="s">
        <v>16</v>
      </c>
      <c r="Q98" s="16">
        <v>2958465</v>
      </c>
    </row>
    <row r="99" spans="1:17">
      <c r="A99" s="11">
        <f t="shared" si="1"/>
        <v>98</v>
      </c>
      <c r="B99" s="11">
        <v>8010024378</v>
      </c>
      <c r="C99" s="25" t="s">
        <v>239</v>
      </c>
      <c r="D99" s="27">
        <v>21445</v>
      </c>
      <c r="E99" s="11">
        <v>0.56000000000000005</v>
      </c>
      <c r="F99" s="11" t="s">
        <v>11</v>
      </c>
      <c r="G99" s="44">
        <v>12009</v>
      </c>
      <c r="H99" s="28">
        <v>10818.918918918918</v>
      </c>
      <c r="I99" s="19" t="s">
        <v>107</v>
      </c>
      <c r="J99" s="19" t="s">
        <v>108</v>
      </c>
      <c r="K99" s="32" t="s">
        <v>109</v>
      </c>
      <c r="L99" s="22"/>
      <c r="M99" s="22"/>
      <c r="N99" s="22"/>
      <c r="O99" s="20" t="s">
        <v>15</v>
      </c>
      <c r="P99" s="25" t="s">
        <v>16</v>
      </c>
      <c r="Q99" s="16">
        <v>2958465</v>
      </c>
    </row>
    <row r="100" spans="1:17">
      <c r="A100" s="11">
        <f t="shared" si="1"/>
        <v>99</v>
      </c>
      <c r="B100" s="11">
        <v>8010024379</v>
      </c>
      <c r="C100" s="25" t="s">
        <v>240</v>
      </c>
      <c r="D100" s="27">
        <v>3876</v>
      </c>
      <c r="E100" s="11">
        <v>0.56000000000000005</v>
      </c>
      <c r="F100" s="11" t="s">
        <v>11</v>
      </c>
      <c r="G100" s="44">
        <v>2171</v>
      </c>
      <c r="H100" s="28">
        <v>1955.8558558558557</v>
      </c>
      <c r="I100" s="19" t="s">
        <v>107</v>
      </c>
      <c r="J100" s="19" t="s">
        <v>108</v>
      </c>
      <c r="K100" s="32" t="s">
        <v>109</v>
      </c>
      <c r="L100" s="22"/>
      <c r="M100" s="22"/>
      <c r="N100" s="22"/>
      <c r="O100" s="20" t="s">
        <v>15</v>
      </c>
      <c r="P100" s="25" t="s">
        <v>16</v>
      </c>
      <c r="Q100" s="16">
        <v>2958465</v>
      </c>
    </row>
    <row r="101" spans="1:17">
      <c r="A101" s="11">
        <f t="shared" si="1"/>
        <v>100</v>
      </c>
      <c r="B101" s="11">
        <v>8010024380</v>
      </c>
      <c r="C101" s="25" t="s">
        <v>218</v>
      </c>
      <c r="D101" s="27">
        <v>7181</v>
      </c>
      <c r="E101" s="11">
        <v>0.56000000000000005</v>
      </c>
      <c r="F101" s="11" t="s">
        <v>11</v>
      </c>
      <c r="G101" s="44">
        <v>4021</v>
      </c>
      <c r="H101" s="28">
        <v>3622.5225225225222</v>
      </c>
      <c r="I101" s="19" t="s">
        <v>107</v>
      </c>
      <c r="J101" s="19" t="s">
        <v>108</v>
      </c>
      <c r="K101" s="32" t="s">
        <v>109</v>
      </c>
      <c r="L101" s="22"/>
      <c r="M101" s="22"/>
      <c r="N101" s="22"/>
      <c r="O101" s="20" t="s">
        <v>15</v>
      </c>
      <c r="P101" s="25" t="s">
        <v>16</v>
      </c>
      <c r="Q101" s="16">
        <v>2958465</v>
      </c>
    </row>
    <row r="102" spans="1:17">
      <c r="A102" s="11">
        <f t="shared" si="1"/>
        <v>101</v>
      </c>
      <c r="B102" s="11">
        <v>8010024381</v>
      </c>
      <c r="C102" s="25" t="s">
        <v>196</v>
      </c>
      <c r="D102" s="27">
        <v>8149</v>
      </c>
      <c r="E102" s="11">
        <v>0.56000000000000005</v>
      </c>
      <c r="F102" s="11" t="s">
        <v>11</v>
      </c>
      <c r="G102" s="44">
        <v>4563</v>
      </c>
      <c r="H102" s="28">
        <v>4110.8108108108108</v>
      </c>
      <c r="I102" s="19" t="s">
        <v>107</v>
      </c>
      <c r="J102" s="19" t="s">
        <v>108</v>
      </c>
      <c r="K102" s="32" t="s">
        <v>109</v>
      </c>
      <c r="L102" s="22"/>
      <c r="M102" s="22"/>
      <c r="N102" s="22"/>
      <c r="O102" s="20" t="s">
        <v>15</v>
      </c>
      <c r="P102" s="25" t="s">
        <v>16</v>
      </c>
      <c r="Q102" s="16">
        <v>2958465</v>
      </c>
    </row>
    <row r="103" spans="1:17">
      <c r="A103" s="11">
        <f t="shared" si="1"/>
        <v>102</v>
      </c>
      <c r="B103" s="11">
        <v>8010024382</v>
      </c>
      <c r="C103" s="25" t="s">
        <v>197</v>
      </c>
      <c r="D103" s="27">
        <v>21248</v>
      </c>
      <c r="E103" s="11">
        <v>0.56000000000000005</v>
      </c>
      <c r="F103" s="11" t="s">
        <v>11</v>
      </c>
      <c r="G103" s="44">
        <v>11899</v>
      </c>
      <c r="H103" s="28">
        <v>10719.819819819819</v>
      </c>
      <c r="I103" s="19" t="s">
        <v>107</v>
      </c>
      <c r="J103" s="19" t="s">
        <v>108</v>
      </c>
      <c r="K103" s="32" t="s">
        <v>109</v>
      </c>
      <c r="L103" s="22"/>
      <c r="M103" s="22"/>
      <c r="N103" s="22"/>
      <c r="O103" s="20" t="s">
        <v>15</v>
      </c>
      <c r="P103" s="25" t="s">
        <v>16</v>
      </c>
      <c r="Q103" s="16">
        <v>2958465</v>
      </c>
    </row>
    <row r="104" spans="1:17">
      <c r="A104" s="11">
        <f t="shared" si="1"/>
        <v>103</v>
      </c>
      <c r="B104" s="11">
        <v>8010024383</v>
      </c>
      <c r="C104" s="25" t="s">
        <v>198</v>
      </c>
      <c r="D104" s="27">
        <v>56464</v>
      </c>
      <c r="E104" s="11">
        <v>0.56000000000000005</v>
      </c>
      <c r="F104" s="11" t="s">
        <v>11</v>
      </c>
      <c r="G104" s="44">
        <v>31620</v>
      </c>
      <c r="H104" s="28">
        <v>28486.486486486483</v>
      </c>
      <c r="I104" s="19" t="s">
        <v>107</v>
      </c>
      <c r="J104" s="19" t="s">
        <v>108</v>
      </c>
      <c r="K104" s="32" t="s">
        <v>109</v>
      </c>
      <c r="L104" s="22"/>
      <c r="M104" s="22"/>
      <c r="N104" s="22"/>
      <c r="O104" s="20" t="s">
        <v>15</v>
      </c>
      <c r="P104" s="25" t="s">
        <v>16</v>
      </c>
      <c r="Q104" s="16">
        <v>2958465</v>
      </c>
    </row>
    <row r="105" spans="1:17">
      <c r="A105" s="11">
        <f t="shared" si="1"/>
        <v>104</v>
      </c>
      <c r="B105" s="11">
        <v>8010024384</v>
      </c>
      <c r="C105" s="25" t="s">
        <v>199</v>
      </c>
      <c r="D105" s="27">
        <v>60301</v>
      </c>
      <c r="E105" s="11">
        <v>0.56000000000000005</v>
      </c>
      <c r="F105" s="11" t="s">
        <v>11</v>
      </c>
      <c r="G105" s="44">
        <v>33769</v>
      </c>
      <c r="H105" s="28">
        <v>30422.522522522519</v>
      </c>
      <c r="I105" s="19" t="s">
        <v>107</v>
      </c>
      <c r="J105" s="19" t="s">
        <v>108</v>
      </c>
      <c r="K105" s="32" t="s">
        <v>109</v>
      </c>
      <c r="L105" s="22"/>
      <c r="M105" s="22"/>
      <c r="N105" s="22"/>
      <c r="O105" s="20" t="s">
        <v>15</v>
      </c>
      <c r="P105" s="25" t="s">
        <v>16</v>
      </c>
      <c r="Q105" s="16">
        <v>2958465</v>
      </c>
    </row>
    <row r="106" spans="1:17">
      <c r="A106" s="11">
        <f t="shared" si="1"/>
        <v>105</v>
      </c>
      <c r="B106" s="11">
        <v>8010024385</v>
      </c>
      <c r="C106" s="25" t="s">
        <v>200</v>
      </c>
      <c r="D106" s="27">
        <v>103583</v>
      </c>
      <c r="E106" s="11">
        <v>0.56000000000000005</v>
      </c>
      <c r="F106" s="11" t="s">
        <v>11</v>
      </c>
      <c r="G106" s="44">
        <v>58006</v>
      </c>
      <c r="H106" s="28">
        <v>52257.657657657655</v>
      </c>
      <c r="I106" s="19" t="s">
        <v>107</v>
      </c>
      <c r="J106" s="19" t="s">
        <v>108</v>
      </c>
      <c r="K106" s="32" t="s">
        <v>109</v>
      </c>
      <c r="L106" s="22"/>
      <c r="M106" s="22"/>
      <c r="N106" s="22"/>
      <c r="O106" s="20" t="s">
        <v>15</v>
      </c>
      <c r="P106" s="25" t="s">
        <v>16</v>
      </c>
      <c r="Q106" s="16">
        <v>2958465</v>
      </c>
    </row>
    <row r="107" spans="1:17">
      <c r="A107" s="11">
        <f t="shared" si="1"/>
        <v>106</v>
      </c>
      <c r="B107" s="11">
        <v>8010024386</v>
      </c>
      <c r="C107" s="25" t="s">
        <v>201</v>
      </c>
      <c r="D107" s="27">
        <v>6261</v>
      </c>
      <c r="E107" s="11">
        <v>0.56000000000000005</v>
      </c>
      <c r="F107" s="11" t="s">
        <v>11</v>
      </c>
      <c r="G107" s="44">
        <v>3506</v>
      </c>
      <c r="H107" s="28">
        <v>3158.5585585585582</v>
      </c>
      <c r="I107" s="19" t="s">
        <v>107</v>
      </c>
      <c r="J107" s="19" t="s">
        <v>108</v>
      </c>
      <c r="K107" s="32" t="s">
        <v>109</v>
      </c>
      <c r="L107" s="22"/>
      <c r="M107" s="22"/>
      <c r="N107" s="22"/>
      <c r="O107" s="20" t="s">
        <v>15</v>
      </c>
      <c r="P107" s="25" t="s">
        <v>16</v>
      </c>
      <c r="Q107" s="16">
        <v>2958465</v>
      </c>
    </row>
    <row r="108" spans="1:17">
      <c r="A108" s="11">
        <f t="shared" si="1"/>
        <v>107</v>
      </c>
      <c r="B108" s="11">
        <v>8010024387</v>
      </c>
      <c r="C108" s="25" t="s">
        <v>202</v>
      </c>
      <c r="D108" s="27">
        <v>8952</v>
      </c>
      <c r="E108" s="11">
        <v>0.56000000000000005</v>
      </c>
      <c r="F108" s="11" t="s">
        <v>11</v>
      </c>
      <c r="G108" s="44">
        <v>5013</v>
      </c>
      <c r="H108" s="28">
        <v>4516.2162162162158</v>
      </c>
      <c r="I108" s="19" t="s">
        <v>107</v>
      </c>
      <c r="J108" s="19" t="s">
        <v>108</v>
      </c>
      <c r="K108" s="32" t="s">
        <v>109</v>
      </c>
      <c r="L108" s="22"/>
      <c r="M108" s="22"/>
      <c r="N108" s="22"/>
      <c r="O108" s="20" t="s">
        <v>15</v>
      </c>
      <c r="P108" s="25" t="s">
        <v>16</v>
      </c>
      <c r="Q108" s="16">
        <v>2958465</v>
      </c>
    </row>
    <row r="109" spans="1:17">
      <c r="A109" s="11">
        <f t="shared" si="1"/>
        <v>108</v>
      </c>
      <c r="B109" s="11">
        <v>8010024388</v>
      </c>
      <c r="C109" s="25" t="s">
        <v>203</v>
      </c>
      <c r="D109" s="27">
        <v>64359</v>
      </c>
      <c r="E109" s="11">
        <v>0.56000000000000005</v>
      </c>
      <c r="F109" s="11" t="s">
        <v>11</v>
      </c>
      <c r="G109" s="44">
        <v>36041</v>
      </c>
      <c r="H109" s="28">
        <v>32469.369369369368</v>
      </c>
      <c r="I109" s="19" t="s">
        <v>107</v>
      </c>
      <c r="J109" s="19" t="s">
        <v>108</v>
      </c>
      <c r="K109" s="32" t="s">
        <v>109</v>
      </c>
      <c r="L109" s="22"/>
      <c r="M109" s="22"/>
      <c r="N109" s="22"/>
      <c r="O109" s="20" t="s">
        <v>15</v>
      </c>
      <c r="P109" s="25" t="s">
        <v>16</v>
      </c>
      <c r="Q109" s="16">
        <v>2958465</v>
      </c>
    </row>
    <row r="110" spans="1:17">
      <c r="A110" s="11">
        <f t="shared" si="1"/>
        <v>109</v>
      </c>
      <c r="B110" s="11">
        <v>8010024389</v>
      </c>
      <c r="C110" s="25" t="s">
        <v>204</v>
      </c>
      <c r="D110" s="27">
        <v>10126</v>
      </c>
      <c r="E110" s="11">
        <v>0.56000000000000005</v>
      </c>
      <c r="F110" s="11" t="s">
        <v>11</v>
      </c>
      <c r="G110" s="44">
        <v>5671</v>
      </c>
      <c r="H110" s="28">
        <v>5109.0090090090089</v>
      </c>
      <c r="I110" s="19" t="s">
        <v>107</v>
      </c>
      <c r="J110" s="19" t="s">
        <v>108</v>
      </c>
      <c r="K110" s="32" t="s">
        <v>109</v>
      </c>
      <c r="L110" s="22"/>
      <c r="M110" s="22"/>
      <c r="N110" s="22"/>
      <c r="O110" s="20" t="s">
        <v>15</v>
      </c>
      <c r="P110" s="25" t="s">
        <v>16</v>
      </c>
      <c r="Q110" s="16">
        <v>2958465</v>
      </c>
    </row>
    <row r="111" spans="1:17">
      <c r="A111" s="11">
        <f t="shared" si="1"/>
        <v>110</v>
      </c>
      <c r="B111" s="11">
        <v>8010024403</v>
      </c>
      <c r="C111" s="25" t="s">
        <v>205</v>
      </c>
      <c r="D111" s="27">
        <v>11017</v>
      </c>
      <c r="E111" s="11">
        <v>0.56000000000000005</v>
      </c>
      <c r="F111" s="11" t="s">
        <v>11</v>
      </c>
      <c r="G111" s="44">
        <v>6170</v>
      </c>
      <c r="H111" s="28">
        <v>5558.5585585585577</v>
      </c>
      <c r="I111" s="19" t="s">
        <v>107</v>
      </c>
      <c r="J111" s="19" t="s">
        <v>108</v>
      </c>
      <c r="K111" s="32" t="s">
        <v>109</v>
      </c>
      <c r="L111" s="22"/>
      <c r="M111" s="22"/>
      <c r="N111" s="22"/>
      <c r="O111" s="20" t="s">
        <v>15</v>
      </c>
      <c r="P111" s="25" t="s">
        <v>16</v>
      </c>
      <c r="Q111" s="16">
        <v>2958465</v>
      </c>
    </row>
    <row r="112" spans="1:17">
      <c r="A112" s="11">
        <f t="shared" si="1"/>
        <v>111</v>
      </c>
      <c r="B112" s="11">
        <v>8010024404</v>
      </c>
      <c r="C112" s="25" t="s">
        <v>206</v>
      </c>
      <c r="D112" s="27">
        <v>202035</v>
      </c>
      <c r="E112" s="11">
        <v>0.56000000000000005</v>
      </c>
      <c r="F112" s="11" t="s">
        <v>11</v>
      </c>
      <c r="G112" s="44">
        <v>113140</v>
      </c>
      <c r="H112" s="28">
        <v>101927.92792792791</v>
      </c>
      <c r="I112" s="19" t="s">
        <v>107</v>
      </c>
      <c r="J112" s="19" t="s">
        <v>108</v>
      </c>
      <c r="K112" s="32" t="s">
        <v>109</v>
      </c>
      <c r="L112" s="22"/>
      <c r="M112" s="22"/>
      <c r="N112" s="22"/>
      <c r="O112" s="20" t="s">
        <v>15</v>
      </c>
      <c r="P112" s="25" t="s">
        <v>16</v>
      </c>
      <c r="Q112" s="16">
        <v>2958465</v>
      </c>
    </row>
    <row r="113" spans="1:17">
      <c r="A113" s="11">
        <f t="shared" si="1"/>
        <v>112</v>
      </c>
      <c r="B113" s="11">
        <v>8010024405</v>
      </c>
      <c r="C113" s="25" t="s">
        <v>207</v>
      </c>
      <c r="D113" s="27">
        <v>1460</v>
      </c>
      <c r="E113" s="11">
        <v>0.56000000000000005</v>
      </c>
      <c r="F113" s="11" t="s">
        <v>11</v>
      </c>
      <c r="G113" s="44">
        <v>818</v>
      </c>
      <c r="H113" s="28">
        <v>736.93693693693683</v>
      </c>
      <c r="I113" s="19" t="s">
        <v>107</v>
      </c>
      <c r="J113" s="19" t="s">
        <v>108</v>
      </c>
      <c r="K113" s="32" t="s">
        <v>109</v>
      </c>
      <c r="L113" s="22"/>
      <c r="M113" s="22"/>
      <c r="N113" s="22"/>
      <c r="O113" s="20" t="s">
        <v>15</v>
      </c>
      <c r="P113" s="25" t="s">
        <v>16</v>
      </c>
      <c r="Q113" s="16">
        <v>2958465</v>
      </c>
    </row>
    <row r="114" spans="1:17">
      <c r="A114" s="11">
        <f t="shared" si="1"/>
        <v>113</v>
      </c>
      <c r="B114" s="11">
        <v>8010024406</v>
      </c>
      <c r="C114" s="25" t="s">
        <v>208</v>
      </c>
      <c r="D114" s="27">
        <v>1655</v>
      </c>
      <c r="E114" s="11">
        <v>0.56000000000000005</v>
      </c>
      <c r="F114" s="11" t="s">
        <v>11</v>
      </c>
      <c r="G114" s="44">
        <v>927</v>
      </c>
      <c r="H114" s="28">
        <v>835.1351351351351</v>
      </c>
      <c r="I114" s="19" t="s">
        <v>107</v>
      </c>
      <c r="J114" s="19" t="s">
        <v>108</v>
      </c>
      <c r="K114" s="32" t="s">
        <v>109</v>
      </c>
      <c r="L114" s="22"/>
      <c r="M114" s="22"/>
      <c r="N114" s="22"/>
      <c r="O114" s="20" t="s">
        <v>15</v>
      </c>
      <c r="P114" s="25" t="s">
        <v>16</v>
      </c>
      <c r="Q114" s="16">
        <v>2958465</v>
      </c>
    </row>
    <row r="115" spans="1:17">
      <c r="A115" s="11">
        <f t="shared" si="1"/>
        <v>114</v>
      </c>
      <c r="B115" s="11">
        <v>8010024407</v>
      </c>
      <c r="C115" s="25" t="s">
        <v>209</v>
      </c>
      <c r="D115" s="27">
        <v>7968</v>
      </c>
      <c r="E115" s="11">
        <v>0.56000000000000005</v>
      </c>
      <c r="F115" s="11" t="s">
        <v>11</v>
      </c>
      <c r="G115" s="44">
        <v>4462</v>
      </c>
      <c r="H115" s="28">
        <v>4019.8198198198193</v>
      </c>
      <c r="I115" s="19" t="s">
        <v>107</v>
      </c>
      <c r="J115" s="19" t="s">
        <v>108</v>
      </c>
      <c r="K115" s="32" t="s">
        <v>109</v>
      </c>
      <c r="L115" s="22"/>
      <c r="M115" s="22"/>
      <c r="N115" s="22"/>
      <c r="O115" s="20" t="s">
        <v>15</v>
      </c>
      <c r="P115" s="25" t="s">
        <v>16</v>
      </c>
      <c r="Q115" s="16">
        <v>2958465</v>
      </c>
    </row>
    <row r="116" spans="1:17">
      <c r="A116" s="11">
        <f t="shared" si="1"/>
        <v>115</v>
      </c>
      <c r="B116" s="11">
        <v>8010024408</v>
      </c>
      <c r="C116" s="25" t="s">
        <v>210</v>
      </c>
      <c r="D116" s="27">
        <v>3408</v>
      </c>
      <c r="E116" s="11">
        <v>0.56000000000000005</v>
      </c>
      <c r="F116" s="11" t="s">
        <v>11</v>
      </c>
      <c r="G116" s="44">
        <v>1908</v>
      </c>
      <c r="H116" s="28">
        <v>1718.9189189189187</v>
      </c>
      <c r="I116" s="19" t="s">
        <v>107</v>
      </c>
      <c r="J116" s="19" t="s">
        <v>108</v>
      </c>
      <c r="K116" s="32" t="s">
        <v>109</v>
      </c>
      <c r="L116" s="22"/>
      <c r="M116" s="22"/>
      <c r="N116" s="22"/>
      <c r="O116" s="20" t="s">
        <v>15</v>
      </c>
      <c r="P116" s="25" t="s">
        <v>16</v>
      </c>
      <c r="Q116" s="16">
        <v>2958465</v>
      </c>
    </row>
    <row r="117" spans="1:17">
      <c r="A117" s="11">
        <f t="shared" si="1"/>
        <v>116</v>
      </c>
      <c r="B117" s="11">
        <v>8010024409</v>
      </c>
      <c r="C117" s="25" t="s">
        <v>211</v>
      </c>
      <c r="D117" s="27">
        <v>1363</v>
      </c>
      <c r="E117" s="11">
        <v>0.56000000000000005</v>
      </c>
      <c r="F117" s="11" t="s">
        <v>11</v>
      </c>
      <c r="G117" s="44">
        <v>763</v>
      </c>
      <c r="H117" s="28">
        <v>687.38738738738732</v>
      </c>
      <c r="I117" s="19" t="s">
        <v>107</v>
      </c>
      <c r="J117" s="19" t="s">
        <v>108</v>
      </c>
      <c r="K117" s="32" t="s">
        <v>109</v>
      </c>
      <c r="L117" s="22"/>
      <c r="M117" s="22"/>
      <c r="N117" s="22"/>
      <c r="O117" s="20" t="s">
        <v>15</v>
      </c>
      <c r="P117" s="25" t="s">
        <v>16</v>
      </c>
      <c r="Q117" s="16">
        <v>2958465</v>
      </c>
    </row>
    <row r="118" spans="1:17">
      <c r="A118" s="11">
        <f t="shared" si="1"/>
        <v>117</v>
      </c>
      <c r="B118" s="11">
        <v>8010024410</v>
      </c>
      <c r="C118" s="25" t="s">
        <v>212</v>
      </c>
      <c r="D118" s="27">
        <v>1655</v>
      </c>
      <c r="E118" s="11">
        <v>0.56000000000000005</v>
      </c>
      <c r="F118" s="11" t="s">
        <v>11</v>
      </c>
      <c r="G118" s="44">
        <v>927</v>
      </c>
      <c r="H118" s="28">
        <v>835.1351351351351</v>
      </c>
      <c r="I118" s="19" t="s">
        <v>107</v>
      </c>
      <c r="J118" s="19" t="s">
        <v>108</v>
      </c>
      <c r="K118" s="32" t="s">
        <v>109</v>
      </c>
      <c r="L118" s="22"/>
      <c r="M118" s="22"/>
      <c r="N118" s="22"/>
      <c r="O118" s="20" t="s">
        <v>15</v>
      </c>
      <c r="P118" s="25" t="s">
        <v>16</v>
      </c>
      <c r="Q118" s="16">
        <v>2958465</v>
      </c>
    </row>
    <row r="119" spans="1:17">
      <c r="A119" s="11">
        <f t="shared" si="1"/>
        <v>118</v>
      </c>
      <c r="B119" s="11">
        <v>8010024411</v>
      </c>
      <c r="C119" s="25" t="s">
        <v>213</v>
      </c>
      <c r="D119" s="27">
        <v>1655</v>
      </c>
      <c r="E119" s="11">
        <v>0.56000000000000005</v>
      </c>
      <c r="F119" s="11" t="s">
        <v>11</v>
      </c>
      <c r="G119" s="44">
        <v>927</v>
      </c>
      <c r="H119" s="28">
        <v>835.1351351351351</v>
      </c>
      <c r="I119" s="19" t="s">
        <v>107</v>
      </c>
      <c r="J119" s="19" t="s">
        <v>108</v>
      </c>
      <c r="K119" s="32" t="s">
        <v>109</v>
      </c>
      <c r="L119" s="22"/>
      <c r="M119" s="22"/>
      <c r="N119" s="22"/>
      <c r="O119" s="20" t="s">
        <v>15</v>
      </c>
      <c r="P119" s="25" t="s">
        <v>16</v>
      </c>
      <c r="Q119" s="16">
        <v>2958465</v>
      </c>
    </row>
    <row r="120" spans="1:17">
      <c r="A120" s="11">
        <f t="shared" si="1"/>
        <v>119</v>
      </c>
      <c r="B120" s="11">
        <v>8010024412</v>
      </c>
      <c r="C120" s="25" t="s">
        <v>214</v>
      </c>
      <c r="D120" s="27">
        <v>3116</v>
      </c>
      <c r="E120" s="11">
        <v>0.56000000000000005</v>
      </c>
      <c r="F120" s="11" t="s">
        <v>11</v>
      </c>
      <c r="G120" s="44">
        <v>1745</v>
      </c>
      <c r="H120" s="28">
        <v>1572.0720720720719</v>
      </c>
      <c r="I120" s="19" t="s">
        <v>107</v>
      </c>
      <c r="J120" s="19" t="s">
        <v>108</v>
      </c>
      <c r="K120" s="32" t="s">
        <v>109</v>
      </c>
      <c r="L120" s="22"/>
      <c r="M120" s="22"/>
      <c r="N120" s="22"/>
      <c r="O120" s="20" t="s">
        <v>15</v>
      </c>
      <c r="P120" s="25" t="s">
        <v>16</v>
      </c>
      <c r="Q120" s="16">
        <v>2958465</v>
      </c>
    </row>
    <row r="121" spans="1:17">
      <c r="A121" s="11">
        <f t="shared" si="1"/>
        <v>120</v>
      </c>
      <c r="B121" s="11">
        <v>8010024413</v>
      </c>
      <c r="C121" s="25" t="s">
        <v>215</v>
      </c>
      <c r="D121" s="27">
        <v>4187</v>
      </c>
      <c r="E121" s="11">
        <v>0.56000000000000005</v>
      </c>
      <c r="F121" s="11" t="s">
        <v>11</v>
      </c>
      <c r="G121" s="44">
        <v>2345</v>
      </c>
      <c r="H121" s="28">
        <v>2112.6126126126123</v>
      </c>
      <c r="I121" s="19" t="s">
        <v>107</v>
      </c>
      <c r="J121" s="19" t="s">
        <v>108</v>
      </c>
      <c r="K121" s="32" t="s">
        <v>109</v>
      </c>
      <c r="L121" s="22"/>
      <c r="M121" s="22"/>
      <c r="N121" s="22"/>
      <c r="O121" s="20" t="s">
        <v>15</v>
      </c>
      <c r="P121" s="25" t="s">
        <v>16</v>
      </c>
      <c r="Q121" s="16">
        <v>2958465</v>
      </c>
    </row>
    <row r="122" spans="1:17">
      <c r="A122" s="11">
        <f t="shared" si="1"/>
        <v>121</v>
      </c>
      <c r="B122" s="11">
        <v>8010024414</v>
      </c>
      <c r="C122" s="25" t="s">
        <v>216</v>
      </c>
      <c r="D122" s="27">
        <v>9739</v>
      </c>
      <c r="E122" s="11">
        <v>0.56000000000000005</v>
      </c>
      <c r="F122" s="11" t="s">
        <v>11</v>
      </c>
      <c r="G122" s="44">
        <v>5454</v>
      </c>
      <c r="H122" s="28">
        <v>4913.5135135135133</v>
      </c>
      <c r="I122" s="19" t="s">
        <v>107</v>
      </c>
      <c r="J122" s="19" t="s">
        <v>108</v>
      </c>
      <c r="K122" s="32" t="s">
        <v>109</v>
      </c>
      <c r="L122" s="22"/>
      <c r="M122" s="22"/>
      <c r="N122" s="22"/>
      <c r="O122" s="20" t="s">
        <v>15</v>
      </c>
      <c r="P122" s="25" t="s">
        <v>16</v>
      </c>
      <c r="Q122" s="16">
        <v>2958465</v>
      </c>
    </row>
    <row r="123" spans="1:17">
      <c r="A123" s="11">
        <f t="shared" si="1"/>
        <v>122</v>
      </c>
      <c r="B123" s="11">
        <v>8010024415</v>
      </c>
      <c r="C123" s="25" t="s">
        <v>217</v>
      </c>
      <c r="D123" s="27">
        <v>41414</v>
      </c>
      <c r="E123" s="11">
        <v>0.56000000000000005</v>
      </c>
      <c r="F123" s="11" t="s">
        <v>11</v>
      </c>
      <c r="G123" s="44">
        <v>23192</v>
      </c>
      <c r="H123" s="28">
        <v>20893.693693693691</v>
      </c>
      <c r="I123" s="19" t="s">
        <v>107</v>
      </c>
      <c r="J123" s="19" t="s">
        <v>108</v>
      </c>
      <c r="K123" s="32" t="s">
        <v>109</v>
      </c>
      <c r="L123" s="22"/>
      <c r="M123" s="22"/>
      <c r="N123" s="22"/>
      <c r="O123" s="20" t="s">
        <v>15</v>
      </c>
      <c r="P123" s="25" t="s">
        <v>16</v>
      </c>
      <c r="Q123" s="16">
        <v>2958465</v>
      </c>
    </row>
    <row r="124" spans="1:17">
      <c r="A124" s="11">
        <f t="shared" si="1"/>
        <v>123</v>
      </c>
      <c r="B124" s="11">
        <v>8010024416</v>
      </c>
      <c r="C124" s="25" t="s">
        <v>173</v>
      </c>
      <c r="D124" s="27">
        <v>2726</v>
      </c>
      <c r="E124" s="11">
        <v>0.56000000000000005</v>
      </c>
      <c r="F124" s="11" t="s">
        <v>11</v>
      </c>
      <c r="G124" s="44">
        <v>1527</v>
      </c>
      <c r="H124" s="28">
        <v>1375.6756756756756</v>
      </c>
      <c r="I124" s="19" t="s">
        <v>107</v>
      </c>
      <c r="J124" s="19" t="s">
        <v>108</v>
      </c>
      <c r="K124" s="32" t="s">
        <v>109</v>
      </c>
      <c r="L124" s="22"/>
      <c r="M124" s="22"/>
      <c r="N124" s="22"/>
      <c r="O124" s="20" t="s">
        <v>15</v>
      </c>
      <c r="P124" s="25" t="s">
        <v>16</v>
      </c>
      <c r="Q124" s="16">
        <v>2958465</v>
      </c>
    </row>
    <row r="125" spans="1:17">
      <c r="A125" s="11">
        <f t="shared" si="1"/>
        <v>124</v>
      </c>
      <c r="B125" s="11">
        <v>8010024417</v>
      </c>
      <c r="C125" s="25" t="s">
        <v>130</v>
      </c>
      <c r="D125" s="27">
        <v>8276</v>
      </c>
      <c r="E125" s="11">
        <v>0.56000000000000005</v>
      </c>
      <c r="F125" s="11" t="s">
        <v>11</v>
      </c>
      <c r="G125" s="44">
        <v>4635</v>
      </c>
      <c r="H125" s="28">
        <v>4175.6756756756749</v>
      </c>
      <c r="I125" s="19" t="s">
        <v>107</v>
      </c>
      <c r="J125" s="19" t="s">
        <v>108</v>
      </c>
      <c r="K125" s="32" t="s">
        <v>109</v>
      </c>
      <c r="L125" s="22"/>
      <c r="M125" s="22"/>
      <c r="N125" s="22"/>
      <c r="O125" s="20" t="s">
        <v>15</v>
      </c>
      <c r="P125" s="25" t="s">
        <v>16</v>
      </c>
      <c r="Q125" s="16">
        <v>2958465</v>
      </c>
    </row>
    <row r="126" spans="1:17">
      <c r="A126" s="11">
        <f t="shared" si="1"/>
        <v>125</v>
      </c>
      <c r="B126" s="11">
        <v>8010024418</v>
      </c>
      <c r="C126" s="25" t="s">
        <v>131</v>
      </c>
      <c r="D126" s="27">
        <v>17136</v>
      </c>
      <c r="E126" s="11">
        <v>0.56000000000000005</v>
      </c>
      <c r="F126" s="11" t="s">
        <v>11</v>
      </c>
      <c r="G126" s="44">
        <v>9596</v>
      </c>
      <c r="H126" s="28">
        <v>8645.0450450450444</v>
      </c>
      <c r="I126" s="19" t="s">
        <v>107</v>
      </c>
      <c r="J126" s="19" t="s">
        <v>108</v>
      </c>
      <c r="K126" s="32" t="s">
        <v>109</v>
      </c>
      <c r="L126" s="22"/>
      <c r="M126" s="22"/>
      <c r="N126" s="22"/>
      <c r="O126" s="20" t="s">
        <v>15</v>
      </c>
      <c r="P126" s="25" t="s">
        <v>16</v>
      </c>
      <c r="Q126" s="16">
        <v>2958465</v>
      </c>
    </row>
    <row r="127" spans="1:17">
      <c r="A127" s="11">
        <f t="shared" si="1"/>
        <v>126</v>
      </c>
      <c r="B127" s="11">
        <v>8010024419</v>
      </c>
      <c r="C127" s="25" t="s">
        <v>132</v>
      </c>
      <c r="D127" s="27">
        <v>45373</v>
      </c>
      <c r="E127" s="11">
        <v>0.56000000000000005</v>
      </c>
      <c r="F127" s="11" t="s">
        <v>11</v>
      </c>
      <c r="G127" s="44">
        <v>25409</v>
      </c>
      <c r="H127" s="28">
        <v>22890.990990990987</v>
      </c>
      <c r="I127" s="19" t="s">
        <v>107</v>
      </c>
      <c r="J127" s="19" t="s">
        <v>108</v>
      </c>
      <c r="K127" s="32" t="s">
        <v>109</v>
      </c>
      <c r="L127" s="22"/>
      <c r="M127" s="22"/>
      <c r="N127" s="22"/>
      <c r="O127" s="20" t="s">
        <v>15</v>
      </c>
      <c r="P127" s="25" t="s">
        <v>16</v>
      </c>
      <c r="Q127" s="16">
        <v>2958465</v>
      </c>
    </row>
    <row r="128" spans="1:17">
      <c r="A128" s="11">
        <f t="shared" si="1"/>
        <v>127</v>
      </c>
      <c r="B128" s="11">
        <v>8010024420</v>
      </c>
      <c r="C128" s="25" t="s">
        <v>133</v>
      </c>
      <c r="D128" s="27">
        <v>103682</v>
      </c>
      <c r="E128" s="11">
        <v>0.56000000000000005</v>
      </c>
      <c r="F128" s="11" t="s">
        <v>11</v>
      </c>
      <c r="G128" s="44">
        <v>58062</v>
      </c>
      <c r="H128" s="28">
        <v>52308.108108108107</v>
      </c>
      <c r="I128" s="19" t="s">
        <v>107</v>
      </c>
      <c r="J128" s="19" t="s">
        <v>108</v>
      </c>
      <c r="K128" s="32" t="s">
        <v>109</v>
      </c>
      <c r="L128" s="22"/>
      <c r="M128" s="22"/>
      <c r="N128" s="22"/>
      <c r="O128" s="20" t="s">
        <v>15</v>
      </c>
      <c r="P128" s="25" t="s">
        <v>16</v>
      </c>
      <c r="Q128" s="16">
        <v>2958465</v>
      </c>
    </row>
    <row r="129" spans="1:17">
      <c r="A129" s="11">
        <f t="shared" si="1"/>
        <v>128</v>
      </c>
      <c r="B129" s="11">
        <v>8010024421</v>
      </c>
      <c r="C129" s="25" t="s">
        <v>134</v>
      </c>
      <c r="D129" s="27">
        <v>4479</v>
      </c>
      <c r="E129" s="11">
        <v>0.56000000000000005</v>
      </c>
      <c r="F129" s="11" t="s">
        <v>11</v>
      </c>
      <c r="G129" s="44">
        <v>2508</v>
      </c>
      <c r="H129" s="28">
        <v>2259.4594594594591</v>
      </c>
      <c r="I129" s="19" t="s">
        <v>107</v>
      </c>
      <c r="J129" s="19" t="s">
        <v>108</v>
      </c>
      <c r="K129" s="32" t="s">
        <v>109</v>
      </c>
      <c r="L129" s="22"/>
      <c r="M129" s="22"/>
      <c r="N129" s="22"/>
      <c r="O129" s="20" t="s">
        <v>15</v>
      </c>
      <c r="P129" s="25" t="s">
        <v>16</v>
      </c>
      <c r="Q129" s="16">
        <v>2958465</v>
      </c>
    </row>
    <row r="130" spans="1:17">
      <c r="A130" s="11">
        <f t="shared" si="1"/>
        <v>129</v>
      </c>
      <c r="B130" s="11">
        <v>8010024422</v>
      </c>
      <c r="C130" s="25" t="s">
        <v>171</v>
      </c>
      <c r="D130" s="27">
        <v>6000</v>
      </c>
      <c r="E130" s="11">
        <v>0.56000000000000005</v>
      </c>
      <c r="F130" s="11" t="s">
        <v>11</v>
      </c>
      <c r="G130" s="44">
        <v>3360</v>
      </c>
      <c r="H130" s="28">
        <v>3027.0270270270266</v>
      </c>
      <c r="I130" s="19" t="s">
        <v>107</v>
      </c>
      <c r="J130" s="19" t="s">
        <v>108</v>
      </c>
      <c r="K130" s="32" t="s">
        <v>109</v>
      </c>
      <c r="L130" s="22"/>
      <c r="M130" s="22"/>
      <c r="N130" s="22"/>
      <c r="O130" s="20" t="s">
        <v>15</v>
      </c>
      <c r="P130" s="25" t="s">
        <v>16</v>
      </c>
      <c r="Q130" s="16">
        <v>2958465</v>
      </c>
    </row>
    <row r="131" spans="1:17">
      <c r="A131" s="11">
        <f t="shared" si="1"/>
        <v>130</v>
      </c>
      <c r="B131" s="11">
        <v>8010024423</v>
      </c>
      <c r="C131" s="25" t="s">
        <v>135</v>
      </c>
      <c r="D131" s="27">
        <v>4479</v>
      </c>
      <c r="E131" s="11">
        <v>0.56000000000000005</v>
      </c>
      <c r="F131" s="11" t="s">
        <v>11</v>
      </c>
      <c r="G131" s="44">
        <v>2508</v>
      </c>
      <c r="H131" s="28">
        <v>2259.4594594594591</v>
      </c>
      <c r="I131" s="19" t="s">
        <v>107</v>
      </c>
      <c r="J131" s="19" t="s">
        <v>108</v>
      </c>
      <c r="K131" s="32" t="s">
        <v>109</v>
      </c>
      <c r="L131" s="22"/>
      <c r="M131" s="22"/>
      <c r="N131" s="22"/>
      <c r="O131" s="20" t="s">
        <v>15</v>
      </c>
      <c r="P131" s="25" t="s">
        <v>16</v>
      </c>
      <c r="Q131" s="16">
        <v>2958465</v>
      </c>
    </row>
    <row r="132" spans="1:17">
      <c r="A132" s="11">
        <f t="shared" si="1"/>
        <v>131</v>
      </c>
      <c r="B132" s="11">
        <v>8010024424</v>
      </c>
      <c r="C132" s="25" t="s">
        <v>136</v>
      </c>
      <c r="D132" s="27">
        <v>28626</v>
      </c>
      <c r="E132" s="11">
        <v>0.56000000000000005</v>
      </c>
      <c r="F132" s="11" t="s">
        <v>11</v>
      </c>
      <c r="G132" s="44">
        <v>16031</v>
      </c>
      <c r="H132" s="28">
        <v>14442.342342342341</v>
      </c>
      <c r="I132" s="19" t="s">
        <v>107</v>
      </c>
      <c r="J132" s="19" t="s">
        <v>108</v>
      </c>
      <c r="K132" s="32" t="s">
        <v>109</v>
      </c>
      <c r="L132" s="22"/>
      <c r="M132" s="22"/>
      <c r="N132" s="22"/>
      <c r="O132" s="20" t="s">
        <v>15</v>
      </c>
      <c r="P132" s="25" t="s">
        <v>16</v>
      </c>
      <c r="Q132" s="16">
        <v>2958465</v>
      </c>
    </row>
    <row r="133" spans="1:17">
      <c r="A133" s="11">
        <f t="shared" ref="A133:A196" si="2">ROW()-1</f>
        <v>132</v>
      </c>
      <c r="B133" s="11">
        <v>8010024425</v>
      </c>
      <c r="C133" s="25" t="s">
        <v>137</v>
      </c>
      <c r="D133" s="27">
        <v>16455</v>
      </c>
      <c r="E133" s="11">
        <v>0.56000000000000005</v>
      </c>
      <c r="F133" s="11" t="s">
        <v>11</v>
      </c>
      <c r="G133" s="44">
        <v>9215</v>
      </c>
      <c r="H133" s="28">
        <v>8301.801801801801</v>
      </c>
      <c r="I133" s="19" t="s">
        <v>107</v>
      </c>
      <c r="J133" s="19" t="s">
        <v>108</v>
      </c>
      <c r="K133" s="32" t="s">
        <v>109</v>
      </c>
      <c r="L133" s="22"/>
      <c r="M133" s="22"/>
      <c r="N133" s="22"/>
      <c r="O133" s="20" t="s">
        <v>15</v>
      </c>
      <c r="P133" s="25" t="s">
        <v>16</v>
      </c>
      <c r="Q133" s="16">
        <v>2958465</v>
      </c>
    </row>
    <row r="134" spans="1:17">
      <c r="A134" s="11">
        <f t="shared" si="2"/>
        <v>133</v>
      </c>
      <c r="B134" s="11">
        <v>8010024426</v>
      </c>
      <c r="C134" s="25" t="s">
        <v>138</v>
      </c>
      <c r="D134" s="27">
        <v>14702</v>
      </c>
      <c r="E134" s="11">
        <v>0.56000000000000005</v>
      </c>
      <c r="F134" s="11" t="s">
        <v>11</v>
      </c>
      <c r="G134" s="44">
        <v>8233</v>
      </c>
      <c r="H134" s="28">
        <v>7417.1171171171163</v>
      </c>
      <c r="I134" s="19" t="s">
        <v>107</v>
      </c>
      <c r="J134" s="19" t="s">
        <v>108</v>
      </c>
      <c r="K134" s="32" t="s">
        <v>109</v>
      </c>
      <c r="L134" s="22"/>
      <c r="M134" s="22"/>
      <c r="N134" s="22"/>
      <c r="O134" s="20" t="s">
        <v>15</v>
      </c>
      <c r="P134" s="25" t="s">
        <v>16</v>
      </c>
      <c r="Q134" s="16">
        <v>2958465</v>
      </c>
    </row>
    <row r="135" spans="1:17">
      <c r="A135" s="11">
        <f t="shared" si="2"/>
        <v>134</v>
      </c>
      <c r="B135" s="11">
        <v>8010024438</v>
      </c>
      <c r="C135" s="25" t="s">
        <v>139</v>
      </c>
      <c r="D135" s="27">
        <v>2337</v>
      </c>
      <c r="E135" s="11">
        <v>0.56000000000000005</v>
      </c>
      <c r="F135" s="11" t="s">
        <v>11</v>
      </c>
      <c r="G135" s="44">
        <v>1309</v>
      </c>
      <c r="H135" s="28">
        <v>1179.2792792792791</v>
      </c>
      <c r="I135" s="19" t="s">
        <v>107</v>
      </c>
      <c r="J135" s="19" t="s">
        <v>108</v>
      </c>
      <c r="K135" s="32" t="s">
        <v>109</v>
      </c>
      <c r="L135" s="22"/>
      <c r="M135" s="22"/>
      <c r="N135" s="22"/>
      <c r="O135" s="20" t="s">
        <v>15</v>
      </c>
      <c r="P135" s="25" t="s">
        <v>16</v>
      </c>
      <c r="Q135" s="16">
        <v>2958465</v>
      </c>
    </row>
    <row r="136" spans="1:17">
      <c r="A136" s="11">
        <f t="shared" si="2"/>
        <v>135</v>
      </c>
      <c r="B136" s="11">
        <v>8010024439</v>
      </c>
      <c r="C136" s="25" t="s">
        <v>140</v>
      </c>
      <c r="D136" s="27">
        <v>24592</v>
      </c>
      <c r="E136" s="11">
        <v>0.56000000000000005</v>
      </c>
      <c r="F136" s="11" t="s">
        <v>11</v>
      </c>
      <c r="G136" s="44">
        <v>13772</v>
      </c>
      <c r="H136" s="28">
        <v>12407.207207207206</v>
      </c>
      <c r="I136" s="19" t="s">
        <v>107</v>
      </c>
      <c r="J136" s="19" t="s">
        <v>108</v>
      </c>
      <c r="K136" s="32" t="s">
        <v>109</v>
      </c>
      <c r="L136" s="22"/>
      <c r="M136" s="22"/>
      <c r="N136" s="22"/>
      <c r="O136" s="20" t="s">
        <v>15</v>
      </c>
      <c r="P136" s="25" t="s">
        <v>16</v>
      </c>
      <c r="Q136" s="16">
        <v>2958465</v>
      </c>
    </row>
    <row r="137" spans="1:17">
      <c r="A137" s="11">
        <f t="shared" si="2"/>
        <v>136</v>
      </c>
      <c r="B137" s="11">
        <v>8010024440</v>
      </c>
      <c r="C137" s="25" t="s">
        <v>172</v>
      </c>
      <c r="D137" s="27">
        <v>4300</v>
      </c>
      <c r="E137" s="11">
        <v>0.56000000000000005</v>
      </c>
      <c r="F137" s="11" t="s">
        <v>11</v>
      </c>
      <c r="G137" s="44">
        <v>2408</v>
      </c>
      <c r="H137" s="28">
        <v>2169.369369369369</v>
      </c>
      <c r="I137" s="19" t="s">
        <v>107</v>
      </c>
      <c r="J137" s="19" t="s">
        <v>108</v>
      </c>
      <c r="K137" s="32" t="s">
        <v>109</v>
      </c>
      <c r="L137" s="22"/>
      <c r="M137" s="22"/>
      <c r="N137" s="22"/>
      <c r="O137" s="20" t="s">
        <v>15</v>
      </c>
      <c r="P137" s="25" t="s">
        <v>16</v>
      </c>
      <c r="Q137" s="16">
        <v>2958465</v>
      </c>
    </row>
    <row r="138" spans="1:17">
      <c r="A138" s="11">
        <f t="shared" si="2"/>
        <v>137</v>
      </c>
      <c r="B138" s="11">
        <v>8010024441</v>
      </c>
      <c r="C138" s="25" t="s">
        <v>141</v>
      </c>
      <c r="D138" s="27">
        <v>2726</v>
      </c>
      <c r="E138" s="11">
        <v>0.56000000000000005</v>
      </c>
      <c r="F138" s="11" t="s">
        <v>11</v>
      </c>
      <c r="G138" s="44">
        <v>1527</v>
      </c>
      <c r="H138" s="28">
        <v>1375.6756756756756</v>
      </c>
      <c r="I138" s="19" t="s">
        <v>107</v>
      </c>
      <c r="J138" s="19" t="s">
        <v>108</v>
      </c>
      <c r="K138" s="32" t="s">
        <v>109</v>
      </c>
      <c r="L138" s="22"/>
      <c r="M138" s="22"/>
      <c r="N138" s="22"/>
      <c r="O138" s="20" t="s">
        <v>15</v>
      </c>
      <c r="P138" s="25" t="s">
        <v>16</v>
      </c>
      <c r="Q138" s="16">
        <v>2958465</v>
      </c>
    </row>
    <row r="139" spans="1:17">
      <c r="A139" s="11">
        <f t="shared" si="2"/>
        <v>138</v>
      </c>
      <c r="B139" s="11">
        <v>8010024442</v>
      </c>
      <c r="C139" s="25" t="s">
        <v>142</v>
      </c>
      <c r="D139" s="27">
        <v>11116</v>
      </c>
      <c r="E139" s="11">
        <v>0.56000000000000005</v>
      </c>
      <c r="F139" s="11" t="s">
        <v>11</v>
      </c>
      <c r="G139" s="44">
        <v>6225</v>
      </c>
      <c r="H139" s="28">
        <v>5608.1081081081074</v>
      </c>
      <c r="I139" s="19" t="s">
        <v>107</v>
      </c>
      <c r="J139" s="19" t="s">
        <v>108</v>
      </c>
      <c r="K139" s="32" t="s">
        <v>109</v>
      </c>
      <c r="L139" s="22"/>
      <c r="M139" s="22"/>
      <c r="N139" s="22"/>
      <c r="O139" s="20" t="s">
        <v>15</v>
      </c>
      <c r="P139" s="25" t="s">
        <v>16</v>
      </c>
      <c r="Q139" s="16">
        <v>2958465</v>
      </c>
    </row>
    <row r="140" spans="1:17">
      <c r="A140" s="11">
        <f t="shared" si="2"/>
        <v>139</v>
      </c>
      <c r="B140" s="11">
        <v>8010024443</v>
      </c>
      <c r="C140" s="25" t="s">
        <v>143</v>
      </c>
      <c r="D140" s="27">
        <v>44983</v>
      </c>
      <c r="E140" s="11">
        <v>0.56000000000000005</v>
      </c>
      <c r="F140" s="11" t="s">
        <v>11</v>
      </c>
      <c r="G140" s="44">
        <v>25190</v>
      </c>
      <c r="H140" s="28">
        <v>22693.693693693691</v>
      </c>
      <c r="I140" s="19" t="s">
        <v>107</v>
      </c>
      <c r="J140" s="19" t="s">
        <v>108</v>
      </c>
      <c r="K140" s="32" t="s">
        <v>109</v>
      </c>
      <c r="L140" s="22"/>
      <c r="M140" s="22"/>
      <c r="N140" s="22"/>
      <c r="O140" s="20" t="s">
        <v>15</v>
      </c>
      <c r="P140" s="25" t="s">
        <v>16</v>
      </c>
      <c r="Q140" s="16">
        <v>2958465</v>
      </c>
    </row>
    <row r="141" spans="1:17">
      <c r="A141" s="11">
        <f t="shared" si="2"/>
        <v>140</v>
      </c>
      <c r="B141" s="11">
        <v>8010024444</v>
      </c>
      <c r="C141" s="25" t="s">
        <v>144</v>
      </c>
      <c r="D141" s="27">
        <v>10931</v>
      </c>
      <c r="E141" s="11">
        <v>0.56000000000000005</v>
      </c>
      <c r="F141" s="11" t="s">
        <v>11</v>
      </c>
      <c r="G141" s="44">
        <v>6121</v>
      </c>
      <c r="H141" s="28">
        <v>5514.4144144144138</v>
      </c>
      <c r="I141" s="19" t="s">
        <v>107</v>
      </c>
      <c r="J141" s="19" t="s">
        <v>108</v>
      </c>
      <c r="K141" s="32" t="s">
        <v>109</v>
      </c>
      <c r="L141" s="22"/>
      <c r="M141" s="22"/>
      <c r="N141" s="22"/>
      <c r="O141" s="20" t="s">
        <v>15</v>
      </c>
      <c r="P141" s="25" t="s">
        <v>16</v>
      </c>
      <c r="Q141" s="16">
        <v>2958465</v>
      </c>
    </row>
    <row r="142" spans="1:17">
      <c r="A142" s="11">
        <f t="shared" si="2"/>
        <v>141</v>
      </c>
      <c r="B142" s="11">
        <v>8010024445</v>
      </c>
      <c r="C142" s="25" t="s">
        <v>145</v>
      </c>
      <c r="D142" s="27">
        <v>8860</v>
      </c>
      <c r="E142" s="11">
        <v>0.56000000000000005</v>
      </c>
      <c r="F142" s="11" t="s">
        <v>11</v>
      </c>
      <c r="G142" s="44">
        <v>4962</v>
      </c>
      <c r="H142" s="28">
        <v>4470.27027027027</v>
      </c>
      <c r="I142" s="19" t="s">
        <v>107</v>
      </c>
      <c r="J142" s="19" t="s">
        <v>108</v>
      </c>
      <c r="K142" s="32" t="s">
        <v>109</v>
      </c>
      <c r="L142" s="22"/>
      <c r="M142" s="22"/>
      <c r="N142" s="22"/>
      <c r="O142" s="20" t="s">
        <v>15</v>
      </c>
      <c r="P142" s="25" t="s">
        <v>16</v>
      </c>
      <c r="Q142" s="16">
        <v>2958465</v>
      </c>
    </row>
    <row r="143" spans="1:17">
      <c r="A143" s="11">
        <f t="shared" si="2"/>
        <v>142</v>
      </c>
      <c r="B143" s="11">
        <v>8010024446</v>
      </c>
      <c r="C143" s="25" t="s">
        <v>146</v>
      </c>
      <c r="D143" s="27">
        <v>12198</v>
      </c>
      <c r="E143" s="11">
        <v>0.56000000000000005</v>
      </c>
      <c r="F143" s="11" t="s">
        <v>11</v>
      </c>
      <c r="G143" s="44">
        <v>6831</v>
      </c>
      <c r="H143" s="28">
        <v>6154.0540540540533</v>
      </c>
      <c r="I143" s="19" t="s">
        <v>107</v>
      </c>
      <c r="J143" s="19" t="s">
        <v>108</v>
      </c>
      <c r="K143" s="32" t="s">
        <v>109</v>
      </c>
      <c r="L143" s="22"/>
      <c r="M143" s="22"/>
      <c r="N143" s="22"/>
      <c r="O143" s="20" t="s">
        <v>15</v>
      </c>
      <c r="P143" s="25" t="s">
        <v>16</v>
      </c>
      <c r="Q143" s="16">
        <v>2958465</v>
      </c>
    </row>
    <row r="144" spans="1:17">
      <c r="A144" s="11">
        <f t="shared" si="2"/>
        <v>143</v>
      </c>
      <c r="B144" s="11">
        <v>8010024447</v>
      </c>
      <c r="C144" s="25" t="s">
        <v>147</v>
      </c>
      <c r="D144" s="27">
        <v>112929</v>
      </c>
      <c r="E144" s="11">
        <v>0.56000000000000005</v>
      </c>
      <c r="F144" s="11" t="s">
        <v>11</v>
      </c>
      <c r="G144" s="44">
        <v>63240</v>
      </c>
      <c r="H144" s="28">
        <v>56972.972972972966</v>
      </c>
      <c r="I144" s="19" t="s">
        <v>107</v>
      </c>
      <c r="J144" s="19" t="s">
        <v>108</v>
      </c>
      <c r="K144" s="32" t="s">
        <v>109</v>
      </c>
      <c r="L144" s="22"/>
      <c r="M144" s="22"/>
      <c r="N144" s="22"/>
      <c r="O144" s="20" t="s">
        <v>15</v>
      </c>
      <c r="P144" s="25" t="s">
        <v>16</v>
      </c>
      <c r="Q144" s="16">
        <v>2958465</v>
      </c>
    </row>
    <row r="145" spans="1:17">
      <c r="A145" s="11">
        <f t="shared" si="2"/>
        <v>144</v>
      </c>
      <c r="B145" s="12">
        <v>8010024448</v>
      </c>
      <c r="C145" s="30" t="s">
        <v>1281</v>
      </c>
      <c r="D145" s="30"/>
      <c r="E145" s="30"/>
      <c r="F145" s="30"/>
      <c r="G145" s="43">
        <v>1829</v>
      </c>
      <c r="H145" s="31">
        <v>1647.7477477477476</v>
      </c>
      <c r="I145" s="13" t="s">
        <v>107</v>
      </c>
      <c r="J145" s="13" t="s">
        <v>108</v>
      </c>
      <c r="K145" s="14" t="s">
        <v>1265</v>
      </c>
      <c r="L145" s="12" t="s">
        <v>1266</v>
      </c>
      <c r="M145" s="12" t="s">
        <v>11</v>
      </c>
      <c r="N145" s="15" t="s">
        <v>1267</v>
      </c>
      <c r="O145" s="15" t="s">
        <v>15</v>
      </c>
      <c r="P145" s="12" t="s">
        <v>16</v>
      </c>
      <c r="Q145" s="16">
        <v>2958465</v>
      </c>
    </row>
    <row r="146" spans="1:17">
      <c r="A146" s="11">
        <f t="shared" si="2"/>
        <v>145</v>
      </c>
      <c r="B146" s="11">
        <v>8010024449</v>
      </c>
      <c r="C146" s="25" t="s">
        <v>148</v>
      </c>
      <c r="D146" s="27">
        <v>10126</v>
      </c>
      <c r="E146" s="11">
        <v>0.56000000000000005</v>
      </c>
      <c r="F146" s="11" t="s">
        <v>11</v>
      </c>
      <c r="G146" s="44">
        <v>5671</v>
      </c>
      <c r="H146" s="28">
        <v>5109.0090090090089</v>
      </c>
      <c r="I146" s="19" t="s">
        <v>107</v>
      </c>
      <c r="J146" s="19" t="s">
        <v>108</v>
      </c>
      <c r="K146" s="32" t="s">
        <v>109</v>
      </c>
      <c r="L146" s="22"/>
      <c r="M146" s="22"/>
      <c r="N146" s="22"/>
      <c r="O146" s="20" t="s">
        <v>15</v>
      </c>
      <c r="P146" s="25" t="s">
        <v>16</v>
      </c>
      <c r="Q146" s="16">
        <v>2958465</v>
      </c>
    </row>
    <row r="147" spans="1:17">
      <c r="A147" s="11">
        <f t="shared" si="2"/>
        <v>146</v>
      </c>
      <c r="B147" s="11">
        <v>8010024450</v>
      </c>
      <c r="C147" s="25" t="s">
        <v>149</v>
      </c>
      <c r="D147" s="27">
        <v>76816</v>
      </c>
      <c r="E147" s="11">
        <v>0.56000000000000005</v>
      </c>
      <c r="F147" s="11" t="s">
        <v>11</v>
      </c>
      <c r="G147" s="44">
        <v>43017</v>
      </c>
      <c r="H147" s="28">
        <v>38754.054054054053</v>
      </c>
      <c r="I147" s="19" t="s">
        <v>107</v>
      </c>
      <c r="J147" s="19" t="s">
        <v>108</v>
      </c>
      <c r="K147" s="32" t="s">
        <v>109</v>
      </c>
      <c r="L147" s="22"/>
      <c r="M147" s="22"/>
      <c r="N147" s="22"/>
      <c r="O147" s="20" t="s">
        <v>15</v>
      </c>
      <c r="P147" s="25" t="s">
        <v>16</v>
      </c>
      <c r="Q147" s="16">
        <v>2958465</v>
      </c>
    </row>
    <row r="148" spans="1:17">
      <c r="A148" s="11">
        <f t="shared" si="2"/>
        <v>147</v>
      </c>
      <c r="B148" s="11">
        <v>8010024451</v>
      </c>
      <c r="C148" s="25" t="s">
        <v>150</v>
      </c>
      <c r="D148" s="27">
        <v>76816</v>
      </c>
      <c r="E148" s="11">
        <v>0.56000000000000005</v>
      </c>
      <c r="F148" s="11" t="s">
        <v>11</v>
      </c>
      <c r="G148" s="44">
        <v>43017</v>
      </c>
      <c r="H148" s="28">
        <v>38754.054054054053</v>
      </c>
      <c r="I148" s="19" t="s">
        <v>107</v>
      </c>
      <c r="J148" s="19" t="s">
        <v>108</v>
      </c>
      <c r="K148" s="32" t="s">
        <v>109</v>
      </c>
      <c r="L148" s="22"/>
      <c r="M148" s="22"/>
      <c r="N148" s="22"/>
      <c r="O148" s="20" t="s">
        <v>15</v>
      </c>
      <c r="P148" s="25" t="s">
        <v>16</v>
      </c>
      <c r="Q148" s="16">
        <v>2958465</v>
      </c>
    </row>
    <row r="149" spans="1:17">
      <c r="A149" s="11">
        <f t="shared" si="2"/>
        <v>148</v>
      </c>
      <c r="B149" s="11">
        <v>8010024452</v>
      </c>
      <c r="C149" s="25" t="s">
        <v>129</v>
      </c>
      <c r="D149" s="27">
        <v>103682</v>
      </c>
      <c r="E149" s="11">
        <v>0.56000000000000005</v>
      </c>
      <c r="F149" s="11" t="s">
        <v>11</v>
      </c>
      <c r="G149" s="44">
        <v>58062</v>
      </c>
      <c r="H149" s="28">
        <v>52308.108108108107</v>
      </c>
      <c r="I149" s="19" t="s">
        <v>107</v>
      </c>
      <c r="J149" s="19" t="s">
        <v>108</v>
      </c>
      <c r="K149" s="32" t="s">
        <v>109</v>
      </c>
      <c r="L149" s="22"/>
      <c r="M149" s="22"/>
      <c r="N149" s="22"/>
      <c r="O149" s="20" t="s">
        <v>15</v>
      </c>
      <c r="P149" s="25" t="s">
        <v>16</v>
      </c>
      <c r="Q149" s="16">
        <v>2958465</v>
      </c>
    </row>
    <row r="150" spans="1:17">
      <c r="A150" s="11">
        <f t="shared" si="2"/>
        <v>149</v>
      </c>
      <c r="B150" s="11">
        <v>8010024547</v>
      </c>
      <c r="C150" s="25" t="s">
        <v>117</v>
      </c>
      <c r="D150" s="27">
        <v>2532</v>
      </c>
      <c r="E150" s="11">
        <v>0.56000000000000005</v>
      </c>
      <c r="F150" s="11" t="s">
        <v>11</v>
      </c>
      <c r="G150" s="44">
        <v>1418</v>
      </c>
      <c r="H150" s="28">
        <v>1277.4774774774774</v>
      </c>
      <c r="I150" s="19" t="s">
        <v>107</v>
      </c>
      <c r="J150" s="19" t="s">
        <v>108</v>
      </c>
      <c r="K150" s="32" t="s">
        <v>109</v>
      </c>
      <c r="L150" s="22"/>
      <c r="M150" s="22"/>
      <c r="N150" s="22"/>
      <c r="O150" s="20" t="s">
        <v>15</v>
      </c>
      <c r="P150" s="25" t="s">
        <v>16</v>
      </c>
      <c r="Q150" s="16">
        <v>2958465</v>
      </c>
    </row>
    <row r="151" spans="1:17">
      <c r="A151" s="11">
        <f t="shared" si="2"/>
        <v>150</v>
      </c>
      <c r="B151" s="11">
        <v>8010024548</v>
      </c>
      <c r="C151" s="25" t="s">
        <v>116</v>
      </c>
      <c r="D151" s="27">
        <v>2726</v>
      </c>
      <c r="E151" s="11">
        <v>0.56000000000000005</v>
      </c>
      <c r="F151" s="11" t="s">
        <v>11</v>
      </c>
      <c r="G151" s="44">
        <v>1527</v>
      </c>
      <c r="H151" s="28">
        <v>1375.6756756756756</v>
      </c>
      <c r="I151" s="19" t="s">
        <v>107</v>
      </c>
      <c r="J151" s="19" t="s">
        <v>108</v>
      </c>
      <c r="K151" s="32" t="s">
        <v>109</v>
      </c>
      <c r="L151" s="22"/>
      <c r="M151" s="22"/>
      <c r="N151" s="22"/>
      <c r="O151" s="20" t="s">
        <v>15</v>
      </c>
      <c r="P151" s="25" t="s">
        <v>16</v>
      </c>
      <c r="Q151" s="16">
        <v>2958465</v>
      </c>
    </row>
    <row r="152" spans="1:17">
      <c r="A152" s="11">
        <f t="shared" si="2"/>
        <v>151</v>
      </c>
      <c r="B152" s="11">
        <v>8010024549</v>
      </c>
      <c r="C152" s="25" t="s">
        <v>115</v>
      </c>
      <c r="D152" s="27">
        <v>2726</v>
      </c>
      <c r="E152" s="11">
        <v>0.56000000000000005</v>
      </c>
      <c r="F152" s="11" t="s">
        <v>11</v>
      </c>
      <c r="G152" s="44">
        <v>1527</v>
      </c>
      <c r="H152" s="28">
        <v>1375.6756756756756</v>
      </c>
      <c r="I152" s="19" t="s">
        <v>107</v>
      </c>
      <c r="J152" s="19" t="s">
        <v>108</v>
      </c>
      <c r="K152" s="32" t="s">
        <v>109</v>
      </c>
      <c r="L152" s="22"/>
      <c r="M152" s="22"/>
      <c r="N152" s="22"/>
      <c r="O152" s="20" t="s">
        <v>15</v>
      </c>
      <c r="P152" s="25" t="s">
        <v>16</v>
      </c>
      <c r="Q152" s="16">
        <v>2958465</v>
      </c>
    </row>
    <row r="153" spans="1:17">
      <c r="A153" s="11">
        <f t="shared" si="2"/>
        <v>152</v>
      </c>
      <c r="B153" s="12">
        <v>8010024550</v>
      </c>
      <c r="C153" s="30" t="s">
        <v>1282</v>
      </c>
      <c r="D153" s="30"/>
      <c r="E153" s="30"/>
      <c r="F153" s="30"/>
      <c r="G153" s="43">
        <v>1059</v>
      </c>
      <c r="H153" s="31">
        <v>954.05405405405395</v>
      </c>
      <c r="I153" s="13" t="s">
        <v>107</v>
      </c>
      <c r="J153" s="13" t="s">
        <v>108</v>
      </c>
      <c r="K153" s="14" t="s">
        <v>1265</v>
      </c>
      <c r="L153" s="12" t="s">
        <v>1266</v>
      </c>
      <c r="M153" s="12" t="s">
        <v>11</v>
      </c>
      <c r="N153" s="15" t="s">
        <v>1267</v>
      </c>
      <c r="O153" s="15" t="s">
        <v>15</v>
      </c>
      <c r="P153" s="12" t="s">
        <v>16</v>
      </c>
      <c r="Q153" s="16">
        <v>2958465</v>
      </c>
    </row>
    <row r="154" spans="1:17">
      <c r="A154" s="11">
        <f t="shared" si="2"/>
        <v>153</v>
      </c>
      <c r="B154" s="12">
        <v>8010024551</v>
      </c>
      <c r="C154" s="30" t="s">
        <v>1283</v>
      </c>
      <c r="D154" s="30"/>
      <c r="E154" s="30"/>
      <c r="F154" s="30"/>
      <c r="G154" s="43">
        <v>1251</v>
      </c>
      <c r="H154" s="31">
        <v>1127.0270270270269</v>
      </c>
      <c r="I154" s="13" t="s">
        <v>107</v>
      </c>
      <c r="J154" s="13" t="s">
        <v>108</v>
      </c>
      <c r="K154" s="14" t="s">
        <v>1265</v>
      </c>
      <c r="L154" s="12" t="s">
        <v>1266</v>
      </c>
      <c r="M154" s="12" t="s">
        <v>11</v>
      </c>
      <c r="N154" s="15" t="s">
        <v>1267</v>
      </c>
      <c r="O154" s="15" t="s">
        <v>15</v>
      </c>
      <c r="P154" s="12" t="s">
        <v>16</v>
      </c>
      <c r="Q154" s="16">
        <v>2958465</v>
      </c>
    </row>
    <row r="155" spans="1:17">
      <c r="A155" s="11">
        <f t="shared" si="2"/>
        <v>154</v>
      </c>
      <c r="B155" s="11">
        <v>8010024552</v>
      </c>
      <c r="C155" s="25" t="s">
        <v>114</v>
      </c>
      <c r="D155" s="27">
        <v>32954</v>
      </c>
      <c r="E155" s="11">
        <v>0.56000000000000005</v>
      </c>
      <c r="F155" s="11" t="s">
        <v>11</v>
      </c>
      <c r="G155" s="44">
        <v>18454</v>
      </c>
      <c r="H155" s="28">
        <v>16625.225225225222</v>
      </c>
      <c r="I155" s="19" t="s">
        <v>107</v>
      </c>
      <c r="J155" s="19" t="s">
        <v>108</v>
      </c>
      <c r="K155" s="32" t="s">
        <v>109</v>
      </c>
      <c r="L155" s="22"/>
      <c r="M155" s="22"/>
      <c r="N155" s="22"/>
      <c r="O155" s="20" t="s">
        <v>15</v>
      </c>
      <c r="P155" s="25" t="s">
        <v>16</v>
      </c>
      <c r="Q155" s="16">
        <v>2958465</v>
      </c>
    </row>
    <row r="156" spans="1:17">
      <c r="A156" s="11">
        <f t="shared" si="2"/>
        <v>155</v>
      </c>
      <c r="B156" s="11">
        <v>8010024553</v>
      </c>
      <c r="C156" s="25" t="s">
        <v>110</v>
      </c>
      <c r="D156" s="27">
        <v>27068</v>
      </c>
      <c r="E156" s="11">
        <v>0.56000000000000005</v>
      </c>
      <c r="F156" s="11" t="s">
        <v>11</v>
      </c>
      <c r="G156" s="44">
        <v>15158</v>
      </c>
      <c r="H156" s="28">
        <v>13655.855855855854</v>
      </c>
      <c r="I156" s="19" t="s">
        <v>107</v>
      </c>
      <c r="J156" s="19" t="s">
        <v>108</v>
      </c>
      <c r="K156" s="32" t="s">
        <v>109</v>
      </c>
      <c r="L156" s="22"/>
      <c r="M156" s="22"/>
      <c r="N156" s="22"/>
      <c r="O156" s="20" t="s">
        <v>15</v>
      </c>
      <c r="P156" s="25" t="s">
        <v>16</v>
      </c>
      <c r="Q156" s="16">
        <v>2958465</v>
      </c>
    </row>
    <row r="157" spans="1:17">
      <c r="A157" s="11">
        <f t="shared" si="2"/>
        <v>156</v>
      </c>
      <c r="B157" s="11">
        <v>8010024554</v>
      </c>
      <c r="C157" s="25" t="s">
        <v>106</v>
      </c>
      <c r="D157" s="27">
        <v>27068</v>
      </c>
      <c r="E157" s="11">
        <v>0.56000000000000005</v>
      </c>
      <c r="F157" s="11" t="s">
        <v>11</v>
      </c>
      <c r="G157" s="44">
        <v>15158</v>
      </c>
      <c r="H157" s="28">
        <v>13655.855855855854</v>
      </c>
      <c r="I157" s="19" t="s">
        <v>107</v>
      </c>
      <c r="J157" s="19" t="s">
        <v>108</v>
      </c>
      <c r="K157" s="32" t="s">
        <v>109</v>
      </c>
      <c r="L157" s="22"/>
      <c r="M157" s="22"/>
      <c r="N157" s="22"/>
      <c r="O157" s="20" t="s">
        <v>15</v>
      </c>
      <c r="P157" s="25" t="s">
        <v>16</v>
      </c>
      <c r="Q157" s="16">
        <v>2958465</v>
      </c>
    </row>
    <row r="158" spans="1:17">
      <c r="A158" s="11">
        <f t="shared" si="2"/>
        <v>157</v>
      </c>
      <c r="B158" s="11">
        <v>8010024561</v>
      </c>
      <c r="C158" s="25" t="s">
        <v>111</v>
      </c>
      <c r="D158" s="27">
        <v>2629</v>
      </c>
      <c r="E158" s="11">
        <v>0.56000000000000005</v>
      </c>
      <c r="F158" s="11" t="s">
        <v>11</v>
      </c>
      <c r="G158" s="44">
        <v>1472</v>
      </c>
      <c r="H158" s="28">
        <v>1326.1261261261261</v>
      </c>
      <c r="I158" s="19" t="s">
        <v>107</v>
      </c>
      <c r="J158" s="19" t="s">
        <v>108</v>
      </c>
      <c r="K158" s="32" t="s">
        <v>109</v>
      </c>
      <c r="L158" s="22"/>
      <c r="M158" s="22"/>
      <c r="N158" s="22"/>
      <c r="O158" s="20" t="s">
        <v>15</v>
      </c>
      <c r="P158" s="25" t="s">
        <v>16</v>
      </c>
      <c r="Q158" s="16">
        <v>2958465</v>
      </c>
    </row>
    <row r="159" spans="1:17">
      <c r="A159" s="11">
        <f t="shared" si="2"/>
        <v>158</v>
      </c>
      <c r="B159" s="11">
        <v>8010024562</v>
      </c>
      <c r="C159" s="25" t="s">
        <v>112</v>
      </c>
      <c r="D159" s="27">
        <v>5160</v>
      </c>
      <c r="E159" s="11">
        <v>0.56000000000000005</v>
      </c>
      <c r="F159" s="11" t="s">
        <v>11</v>
      </c>
      <c r="G159" s="44">
        <v>2890</v>
      </c>
      <c r="H159" s="28">
        <v>2603.6036036036035</v>
      </c>
      <c r="I159" s="19" t="s">
        <v>107</v>
      </c>
      <c r="J159" s="19" t="s">
        <v>108</v>
      </c>
      <c r="K159" s="32" t="s">
        <v>109</v>
      </c>
      <c r="L159" s="22"/>
      <c r="M159" s="22"/>
      <c r="N159" s="22"/>
      <c r="O159" s="20" t="s">
        <v>15</v>
      </c>
      <c r="P159" s="25" t="s">
        <v>16</v>
      </c>
      <c r="Q159" s="16">
        <v>2958465</v>
      </c>
    </row>
    <row r="160" spans="1:17">
      <c r="A160" s="11">
        <f t="shared" si="2"/>
        <v>159</v>
      </c>
      <c r="B160" s="11">
        <v>8010024563</v>
      </c>
      <c r="C160" s="25" t="s">
        <v>113</v>
      </c>
      <c r="D160" s="27">
        <v>15871</v>
      </c>
      <c r="E160" s="11">
        <v>0.56000000000000005</v>
      </c>
      <c r="F160" s="11" t="s">
        <v>11</v>
      </c>
      <c r="G160" s="44">
        <v>8888</v>
      </c>
      <c r="H160" s="28">
        <v>8007.2072072072069</v>
      </c>
      <c r="I160" s="19" t="s">
        <v>107</v>
      </c>
      <c r="J160" s="19" t="s">
        <v>108</v>
      </c>
      <c r="K160" s="32" t="s">
        <v>109</v>
      </c>
      <c r="L160" s="22"/>
      <c r="M160" s="22"/>
      <c r="N160" s="22"/>
      <c r="O160" s="20" t="s">
        <v>15</v>
      </c>
      <c r="P160" s="25" t="s">
        <v>16</v>
      </c>
      <c r="Q160" s="16">
        <v>2958465</v>
      </c>
    </row>
    <row r="161" spans="1:17">
      <c r="A161" s="11">
        <f t="shared" si="2"/>
        <v>160</v>
      </c>
      <c r="B161" s="11">
        <v>8010024658</v>
      </c>
      <c r="C161" s="25" t="s">
        <v>118</v>
      </c>
      <c r="D161" s="27">
        <v>2337</v>
      </c>
      <c r="E161" s="11">
        <v>0.56000000000000005</v>
      </c>
      <c r="F161" s="11" t="s">
        <v>11</v>
      </c>
      <c r="G161" s="44">
        <v>1309</v>
      </c>
      <c r="H161" s="28">
        <v>1179.2792792792791</v>
      </c>
      <c r="I161" s="19" t="s">
        <v>107</v>
      </c>
      <c r="J161" s="19" t="s">
        <v>108</v>
      </c>
      <c r="K161" s="32" t="s">
        <v>109</v>
      </c>
      <c r="L161" s="22"/>
      <c r="M161" s="22"/>
      <c r="N161" s="22"/>
      <c r="O161" s="20" t="s">
        <v>15</v>
      </c>
      <c r="P161" s="25" t="s">
        <v>16</v>
      </c>
      <c r="Q161" s="16">
        <v>2958465</v>
      </c>
    </row>
    <row r="162" spans="1:17">
      <c r="A162" s="11">
        <f t="shared" si="2"/>
        <v>161</v>
      </c>
      <c r="B162" s="11">
        <v>8010024659</v>
      </c>
      <c r="C162" s="25" t="s">
        <v>119</v>
      </c>
      <c r="D162" s="27">
        <v>2434</v>
      </c>
      <c r="E162" s="11">
        <v>0.56000000000000005</v>
      </c>
      <c r="F162" s="11" t="s">
        <v>11</v>
      </c>
      <c r="G162" s="44">
        <v>1363</v>
      </c>
      <c r="H162" s="28">
        <v>1227.9279279279278</v>
      </c>
      <c r="I162" s="19" t="s">
        <v>107</v>
      </c>
      <c r="J162" s="19" t="s">
        <v>108</v>
      </c>
      <c r="K162" s="32" t="s">
        <v>109</v>
      </c>
      <c r="L162" s="22"/>
      <c r="M162" s="22"/>
      <c r="N162" s="22"/>
      <c r="O162" s="20" t="s">
        <v>15</v>
      </c>
      <c r="P162" s="25" t="s">
        <v>16</v>
      </c>
      <c r="Q162" s="16">
        <v>2958465</v>
      </c>
    </row>
    <row r="163" spans="1:17">
      <c r="A163" s="11">
        <f t="shared" si="2"/>
        <v>162</v>
      </c>
      <c r="B163" s="11">
        <v>8010024660</v>
      </c>
      <c r="C163" s="25" t="s">
        <v>120</v>
      </c>
      <c r="D163" s="27">
        <v>5664</v>
      </c>
      <c r="E163" s="11">
        <v>0.56000000000000005</v>
      </c>
      <c r="F163" s="11" t="s">
        <v>11</v>
      </c>
      <c r="G163" s="44">
        <v>3172</v>
      </c>
      <c r="H163" s="28">
        <v>2857.6576576576572</v>
      </c>
      <c r="I163" s="19" t="s">
        <v>107</v>
      </c>
      <c r="J163" s="19" t="s">
        <v>108</v>
      </c>
      <c r="K163" s="32" t="s">
        <v>109</v>
      </c>
      <c r="L163" s="22"/>
      <c r="M163" s="22"/>
      <c r="N163" s="22"/>
      <c r="O163" s="20" t="s">
        <v>15</v>
      </c>
      <c r="P163" s="25" t="s">
        <v>16</v>
      </c>
      <c r="Q163" s="16">
        <v>2958465</v>
      </c>
    </row>
    <row r="164" spans="1:17">
      <c r="A164" s="11">
        <f t="shared" si="2"/>
        <v>163</v>
      </c>
      <c r="B164" s="11">
        <v>8010024661</v>
      </c>
      <c r="C164" s="25" t="s">
        <v>121</v>
      </c>
      <c r="D164" s="27">
        <v>9737</v>
      </c>
      <c r="E164" s="11">
        <v>0.56000000000000005</v>
      </c>
      <c r="F164" s="11" t="s">
        <v>11</v>
      </c>
      <c r="G164" s="44">
        <v>5453</v>
      </c>
      <c r="H164" s="28">
        <v>4912.6126126126119</v>
      </c>
      <c r="I164" s="19" t="s">
        <v>107</v>
      </c>
      <c r="J164" s="19" t="s">
        <v>108</v>
      </c>
      <c r="K164" s="32" t="s">
        <v>109</v>
      </c>
      <c r="L164" s="22"/>
      <c r="M164" s="22"/>
      <c r="N164" s="22"/>
      <c r="O164" s="20" t="s">
        <v>15</v>
      </c>
      <c r="P164" s="25" t="s">
        <v>16</v>
      </c>
      <c r="Q164" s="16">
        <v>2958465</v>
      </c>
    </row>
    <row r="165" spans="1:17">
      <c r="A165" s="11">
        <f t="shared" si="2"/>
        <v>164</v>
      </c>
      <c r="B165" s="11">
        <v>8010024662</v>
      </c>
      <c r="C165" s="25" t="s">
        <v>122</v>
      </c>
      <c r="D165" s="27">
        <v>11527</v>
      </c>
      <c r="E165" s="11">
        <v>0.56000000000000005</v>
      </c>
      <c r="F165" s="11" t="s">
        <v>11</v>
      </c>
      <c r="G165" s="44">
        <v>6455</v>
      </c>
      <c r="H165" s="28">
        <v>5815.3153153153144</v>
      </c>
      <c r="I165" s="19" t="s">
        <v>107</v>
      </c>
      <c r="J165" s="19" t="s">
        <v>108</v>
      </c>
      <c r="K165" s="32" t="s">
        <v>109</v>
      </c>
      <c r="L165" s="22"/>
      <c r="M165" s="22"/>
      <c r="N165" s="22"/>
      <c r="O165" s="20" t="s">
        <v>15</v>
      </c>
      <c r="P165" s="25" t="s">
        <v>16</v>
      </c>
      <c r="Q165" s="16">
        <v>2958465</v>
      </c>
    </row>
    <row r="166" spans="1:17">
      <c r="A166" s="11">
        <f t="shared" si="2"/>
        <v>165</v>
      </c>
      <c r="B166" s="11">
        <v>8010024663</v>
      </c>
      <c r="C166" s="25" t="s">
        <v>123</v>
      </c>
      <c r="D166" s="27">
        <v>50922</v>
      </c>
      <c r="E166" s="11">
        <v>0.56000000000000005</v>
      </c>
      <c r="F166" s="11" t="s">
        <v>11</v>
      </c>
      <c r="G166" s="44">
        <v>28516</v>
      </c>
      <c r="H166" s="28">
        <v>25690.090090090089</v>
      </c>
      <c r="I166" s="19" t="s">
        <v>107</v>
      </c>
      <c r="J166" s="19" t="s">
        <v>108</v>
      </c>
      <c r="K166" s="32" t="s">
        <v>109</v>
      </c>
      <c r="L166" s="22"/>
      <c r="M166" s="22"/>
      <c r="N166" s="22"/>
      <c r="O166" s="20" t="s">
        <v>15</v>
      </c>
      <c r="P166" s="25" t="s">
        <v>16</v>
      </c>
      <c r="Q166" s="16">
        <v>2958465</v>
      </c>
    </row>
    <row r="167" spans="1:17">
      <c r="A167" s="11">
        <f t="shared" si="2"/>
        <v>166</v>
      </c>
      <c r="B167" s="11">
        <v>8010024802</v>
      </c>
      <c r="C167" s="25" t="s">
        <v>124</v>
      </c>
      <c r="D167" s="27">
        <v>32954</v>
      </c>
      <c r="E167" s="11">
        <v>0.56000000000000005</v>
      </c>
      <c r="F167" s="11" t="s">
        <v>11</v>
      </c>
      <c r="G167" s="44">
        <v>18454</v>
      </c>
      <c r="H167" s="28">
        <v>16625.225225225222</v>
      </c>
      <c r="I167" s="19" t="s">
        <v>107</v>
      </c>
      <c r="J167" s="19" t="s">
        <v>108</v>
      </c>
      <c r="K167" s="32" t="s">
        <v>109</v>
      </c>
      <c r="L167" s="22"/>
      <c r="M167" s="22"/>
      <c r="N167" s="22"/>
      <c r="O167" s="20" t="s">
        <v>15</v>
      </c>
      <c r="P167" s="25" t="s">
        <v>16</v>
      </c>
      <c r="Q167" s="16">
        <v>2958465</v>
      </c>
    </row>
    <row r="168" spans="1:17">
      <c r="A168" s="11">
        <f t="shared" si="2"/>
        <v>167</v>
      </c>
      <c r="B168" s="11">
        <v>8010024803</v>
      </c>
      <c r="C168" s="25" t="s">
        <v>125</v>
      </c>
      <c r="D168" s="27">
        <v>50956</v>
      </c>
      <c r="E168" s="11">
        <v>0.56000000000000005</v>
      </c>
      <c r="F168" s="11" t="s">
        <v>11</v>
      </c>
      <c r="G168" s="44">
        <v>28535</v>
      </c>
      <c r="H168" s="28">
        <v>25707.207207207204</v>
      </c>
      <c r="I168" s="19" t="s">
        <v>107</v>
      </c>
      <c r="J168" s="19" t="s">
        <v>108</v>
      </c>
      <c r="K168" s="32" t="s">
        <v>109</v>
      </c>
      <c r="L168" s="22"/>
      <c r="M168" s="22"/>
      <c r="N168" s="22"/>
      <c r="O168" s="20" t="s">
        <v>15</v>
      </c>
      <c r="P168" s="25" t="s">
        <v>16</v>
      </c>
      <c r="Q168" s="16">
        <v>2958465</v>
      </c>
    </row>
    <row r="169" spans="1:17">
      <c r="A169" s="11">
        <f t="shared" si="2"/>
        <v>168</v>
      </c>
      <c r="B169" s="11">
        <v>8010024804</v>
      </c>
      <c r="C169" s="25" t="s">
        <v>126</v>
      </c>
      <c r="D169" s="27">
        <v>83248</v>
      </c>
      <c r="E169" s="11">
        <v>0.56000000000000005</v>
      </c>
      <c r="F169" s="11" t="s">
        <v>11</v>
      </c>
      <c r="G169" s="44">
        <v>46619</v>
      </c>
      <c r="H169" s="28">
        <v>41999.099099099098</v>
      </c>
      <c r="I169" s="19" t="s">
        <v>107</v>
      </c>
      <c r="J169" s="19" t="s">
        <v>108</v>
      </c>
      <c r="K169" s="32" t="s">
        <v>109</v>
      </c>
      <c r="L169" s="22"/>
      <c r="M169" s="22"/>
      <c r="N169" s="22"/>
      <c r="O169" s="20" t="s">
        <v>15</v>
      </c>
      <c r="P169" s="25" t="s">
        <v>16</v>
      </c>
      <c r="Q169" s="16">
        <v>2958465</v>
      </c>
    </row>
    <row r="170" spans="1:17">
      <c r="A170" s="11">
        <f t="shared" si="2"/>
        <v>169</v>
      </c>
      <c r="B170" s="11">
        <v>8010024805</v>
      </c>
      <c r="C170" s="25" t="s">
        <v>127</v>
      </c>
      <c r="D170" s="27">
        <v>189864</v>
      </c>
      <c r="E170" s="11">
        <v>0.56000000000000005</v>
      </c>
      <c r="F170" s="11" t="s">
        <v>11</v>
      </c>
      <c r="G170" s="44">
        <v>106324</v>
      </c>
      <c r="H170" s="28">
        <v>95787.387387387382</v>
      </c>
      <c r="I170" s="19" t="s">
        <v>107</v>
      </c>
      <c r="J170" s="19" t="s">
        <v>108</v>
      </c>
      <c r="K170" s="32" t="s">
        <v>109</v>
      </c>
      <c r="L170" s="22"/>
      <c r="M170" s="22"/>
      <c r="N170" s="22"/>
      <c r="O170" s="20" t="s">
        <v>15</v>
      </c>
      <c r="P170" s="25" t="s">
        <v>16</v>
      </c>
      <c r="Q170" s="16">
        <v>2958465</v>
      </c>
    </row>
    <row r="171" spans="1:17">
      <c r="A171" s="11">
        <f t="shared" si="2"/>
        <v>170</v>
      </c>
      <c r="B171" s="11">
        <v>8010024806</v>
      </c>
      <c r="C171" s="25" t="s">
        <v>128</v>
      </c>
      <c r="D171" s="27">
        <v>3603</v>
      </c>
      <c r="E171" s="11">
        <v>0.56000000000000005</v>
      </c>
      <c r="F171" s="11" t="s">
        <v>11</v>
      </c>
      <c r="G171" s="44">
        <v>2018</v>
      </c>
      <c r="H171" s="28">
        <v>1818.0180180180178</v>
      </c>
      <c r="I171" s="19" t="s">
        <v>107</v>
      </c>
      <c r="J171" s="19" t="s">
        <v>108</v>
      </c>
      <c r="K171" s="32" t="s">
        <v>109</v>
      </c>
      <c r="L171" s="22"/>
      <c r="M171" s="22"/>
      <c r="N171" s="22"/>
      <c r="O171" s="20" t="s">
        <v>15</v>
      </c>
      <c r="P171" s="25" t="s">
        <v>16</v>
      </c>
      <c r="Q171" s="16">
        <v>2958465</v>
      </c>
    </row>
    <row r="172" spans="1:17">
      <c r="A172" s="11">
        <f t="shared" si="2"/>
        <v>171</v>
      </c>
      <c r="B172" s="11">
        <v>8010024807</v>
      </c>
      <c r="C172" s="25" t="s">
        <v>151</v>
      </c>
      <c r="D172" s="27">
        <v>2726</v>
      </c>
      <c r="E172" s="11">
        <v>0.56000000000000005</v>
      </c>
      <c r="F172" s="11" t="s">
        <v>11</v>
      </c>
      <c r="G172" s="44">
        <v>1527</v>
      </c>
      <c r="H172" s="28">
        <v>1375.6756756756756</v>
      </c>
      <c r="I172" s="19" t="s">
        <v>107</v>
      </c>
      <c r="J172" s="19" t="s">
        <v>108</v>
      </c>
      <c r="K172" s="32" t="s">
        <v>109</v>
      </c>
      <c r="L172" s="22"/>
      <c r="M172" s="22"/>
      <c r="N172" s="22"/>
      <c r="O172" s="20" t="s">
        <v>15</v>
      </c>
      <c r="P172" s="25" t="s">
        <v>16</v>
      </c>
      <c r="Q172" s="16">
        <v>2958465</v>
      </c>
    </row>
    <row r="173" spans="1:17">
      <c r="A173" s="11">
        <f t="shared" si="2"/>
        <v>172</v>
      </c>
      <c r="B173" s="11">
        <v>8010024808</v>
      </c>
      <c r="C173" s="25" t="s">
        <v>152</v>
      </c>
      <c r="D173" s="27">
        <v>3895</v>
      </c>
      <c r="E173" s="11">
        <v>0.56000000000000005</v>
      </c>
      <c r="F173" s="11" t="s">
        <v>11</v>
      </c>
      <c r="G173" s="44">
        <v>2181</v>
      </c>
      <c r="H173" s="28">
        <v>1964.8648648648648</v>
      </c>
      <c r="I173" s="19" t="s">
        <v>107</v>
      </c>
      <c r="J173" s="19" t="s">
        <v>108</v>
      </c>
      <c r="K173" s="32" t="s">
        <v>109</v>
      </c>
      <c r="L173" s="22"/>
      <c r="M173" s="22"/>
      <c r="N173" s="22"/>
      <c r="O173" s="20" t="s">
        <v>15</v>
      </c>
      <c r="P173" s="25" t="s">
        <v>16</v>
      </c>
      <c r="Q173" s="16">
        <v>2958465</v>
      </c>
    </row>
    <row r="174" spans="1:17">
      <c r="A174" s="11">
        <f t="shared" si="2"/>
        <v>173</v>
      </c>
      <c r="B174" s="11">
        <v>8010024809</v>
      </c>
      <c r="C174" s="25" t="s">
        <v>153</v>
      </c>
      <c r="D174" s="27">
        <v>1363</v>
      </c>
      <c r="E174" s="11">
        <v>0.56000000000000005</v>
      </c>
      <c r="F174" s="11" t="s">
        <v>11</v>
      </c>
      <c r="G174" s="44">
        <v>763</v>
      </c>
      <c r="H174" s="28">
        <v>687.38738738738732</v>
      </c>
      <c r="I174" s="19" t="s">
        <v>107</v>
      </c>
      <c r="J174" s="19" t="s">
        <v>108</v>
      </c>
      <c r="K174" s="32" t="s">
        <v>109</v>
      </c>
      <c r="L174" s="22"/>
      <c r="M174" s="22"/>
      <c r="N174" s="22"/>
      <c r="O174" s="20" t="s">
        <v>15</v>
      </c>
      <c r="P174" s="25" t="s">
        <v>16</v>
      </c>
      <c r="Q174" s="16">
        <v>2958465</v>
      </c>
    </row>
    <row r="175" spans="1:17">
      <c r="A175" s="11">
        <f t="shared" si="2"/>
        <v>174</v>
      </c>
      <c r="B175" s="11">
        <v>8010024810</v>
      </c>
      <c r="C175" s="25" t="s">
        <v>154</v>
      </c>
      <c r="D175" s="27">
        <v>25773</v>
      </c>
      <c r="E175" s="11">
        <v>0.56000000000000005</v>
      </c>
      <c r="F175" s="11" t="s">
        <v>11</v>
      </c>
      <c r="G175" s="44">
        <v>14433</v>
      </c>
      <c r="H175" s="28">
        <v>13002.702702702702</v>
      </c>
      <c r="I175" s="19" t="s">
        <v>107</v>
      </c>
      <c r="J175" s="19" t="s">
        <v>108</v>
      </c>
      <c r="K175" s="32" t="s">
        <v>109</v>
      </c>
      <c r="L175" s="22"/>
      <c r="M175" s="22"/>
      <c r="N175" s="22"/>
      <c r="O175" s="20" t="s">
        <v>15</v>
      </c>
      <c r="P175" s="25" t="s">
        <v>16</v>
      </c>
      <c r="Q175" s="16">
        <v>2958465</v>
      </c>
    </row>
    <row r="176" spans="1:17">
      <c r="A176" s="11">
        <f t="shared" si="2"/>
        <v>175</v>
      </c>
      <c r="B176" s="11">
        <v>8010024811</v>
      </c>
      <c r="C176" s="25" t="s">
        <v>155</v>
      </c>
      <c r="D176" s="27">
        <v>51939</v>
      </c>
      <c r="E176" s="11">
        <v>0.56000000000000005</v>
      </c>
      <c r="F176" s="11" t="s">
        <v>11</v>
      </c>
      <c r="G176" s="44">
        <v>29086</v>
      </c>
      <c r="H176" s="28">
        <v>26203.603603603602</v>
      </c>
      <c r="I176" s="19" t="s">
        <v>107</v>
      </c>
      <c r="J176" s="19" t="s">
        <v>108</v>
      </c>
      <c r="K176" s="32" t="s">
        <v>109</v>
      </c>
      <c r="L176" s="22"/>
      <c r="M176" s="22"/>
      <c r="N176" s="22"/>
      <c r="O176" s="20" t="s">
        <v>15</v>
      </c>
      <c r="P176" s="25" t="s">
        <v>16</v>
      </c>
      <c r="Q176" s="16">
        <v>2958465</v>
      </c>
    </row>
    <row r="177" spans="1:20">
      <c r="A177" s="11">
        <f t="shared" si="2"/>
        <v>176</v>
      </c>
      <c r="B177" s="11">
        <v>8010024812</v>
      </c>
      <c r="C177" s="25" t="s">
        <v>156</v>
      </c>
      <c r="D177" s="27">
        <v>13772</v>
      </c>
      <c r="E177" s="11">
        <v>0.56000000000000005</v>
      </c>
      <c r="F177" s="11" t="s">
        <v>11</v>
      </c>
      <c r="G177" s="44">
        <v>7712</v>
      </c>
      <c r="H177" s="28">
        <v>6947.7477477477469</v>
      </c>
      <c r="I177" s="19" t="s">
        <v>107</v>
      </c>
      <c r="J177" s="19" t="s">
        <v>108</v>
      </c>
      <c r="K177" s="32" t="s">
        <v>109</v>
      </c>
      <c r="L177" s="22"/>
      <c r="M177" s="22"/>
      <c r="N177" s="22"/>
      <c r="O177" s="20" t="s">
        <v>15</v>
      </c>
      <c r="P177" s="25" t="s">
        <v>16</v>
      </c>
      <c r="Q177" s="16">
        <v>2958465</v>
      </c>
    </row>
    <row r="178" spans="1:20">
      <c r="A178" s="11">
        <f t="shared" si="2"/>
        <v>177</v>
      </c>
      <c r="B178" s="11">
        <v>8010024813</v>
      </c>
      <c r="C178" s="25" t="s">
        <v>157</v>
      </c>
      <c r="D178" s="27">
        <v>33104</v>
      </c>
      <c r="E178" s="11">
        <v>0.56000000000000005</v>
      </c>
      <c r="F178" s="11" t="s">
        <v>11</v>
      </c>
      <c r="G178" s="44">
        <v>18538</v>
      </c>
      <c r="H178" s="28">
        <v>16700.900900900899</v>
      </c>
      <c r="I178" s="19" t="s">
        <v>107</v>
      </c>
      <c r="J178" s="19" t="s">
        <v>108</v>
      </c>
      <c r="K178" s="32" t="s">
        <v>109</v>
      </c>
      <c r="L178" s="22"/>
      <c r="M178" s="22"/>
      <c r="N178" s="22"/>
      <c r="O178" s="20" t="s">
        <v>15</v>
      </c>
      <c r="P178" s="25" t="s">
        <v>16</v>
      </c>
      <c r="Q178" s="16">
        <v>2958465</v>
      </c>
    </row>
    <row r="179" spans="1:20">
      <c r="A179" s="11">
        <f t="shared" si="2"/>
        <v>178</v>
      </c>
      <c r="B179" s="11">
        <v>8010024814</v>
      </c>
      <c r="C179" s="25" t="s">
        <v>158</v>
      </c>
      <c r="D179" s="27">
        <v>45373</v>
      </c>
      <c r="E179" s="11">
        <v>0.56000000000000005</v>
      </c>
      <c r="F179" s="11" t="s">
        <v>11</v>
      </c>
      <c r="G179" s="44">
        <v>25409</v>
      </c>
      <c r="H179" s="28">
        <v>22890.990990990987</v>
      </c>
      <c r="I179" s="19" t="s">
        <v>107</v>
      </c>
      <c r="J179" s="19" t="s">
        <v>108</v>
      </c>
      <c r="K179" s="32" t="s">
        <v>109</v>
      </c>
      <c r="L179" s="22"/>
      <c r="M179" s="22"/>
      <c r="N179" s="22"/>
      <c r="O179" s="20" t="s">
        <v>15</v>
      </c>
      <c r="P179" s="25" t="s">
        <v>16</v>
      </c>
      <c r="Q179" s="16">
        <v>2958465</v>
      </c>
    </row>
    <row r="180" spans="1:20">
      <c r="A180" s="11">
        <f t="shared" si="2"/>
        <v>179</v>
      </c>
      <c r="B180" s="11">
        <v>8010024873</v>
      </c>
      <c r="C180" s="25" t="s">
        <v>159</v>
      </c>
      <c r="D180" s="27">
        <v>78088</v>
      </c>
      <c r="E180" s="11">
        <v>0.56000000000000005</v>
      </c>
      <c r="F180" s="11" t="s">
        <v>11</v>
      </c>
      <c r="G180" s="44">
        <v>43729</v>
      </c>
      <c r="H180" s="28">
        <v>39395.495495495496</v>
      </c>
      <c r="I180" s="19" t="s">
        <v>107</v>
      </c>
      <c r="J180" s="19" t="s">
        <v>108</v>
      </c>
      <c r="K180" s="32" t="s">
        <v>109</v>
      </c>
      <c r="L180" s="22"/>
      <c r="M180" s="22"/>
      <c r="N180" s="22"/>
      <c r="O180" s="20" t="s">
        <v>15</v>
      </c>
      <c r="P180" s="25" t="s">
        <v>16</v>
      </c>
      <c r="Q180" s="16">
        <v>2958465</v>
      </c>
    </row>
    <row r="181" spans="1:20">
      <c r="A181" s="11">
        <f t="shared" si="2"/>
        <v>180</v>
      </c>
      <c r="B181" s="11">
        <v>8010024874</v>
      </c>
      <c r="C181" s="25" t="s">
        <v>160</v>
      </c>
      <c r="D181" s="27">
        <v>222773</v>
      </c>
      <c r="E181" s="11">
        <v>0.56000000000000005</v>
      </c>
      <c r="F181" s="11" t="s">
        <v>11</v>
      </c>
      <c r="G181" s="44">
        <v>124753</v>
      </c>
      <c r="H181" s="28">
        <v>112390.09009009007</v>
      </c>
      <c r="I181" s="19" t="s">
        <v>107</v>
      </c>
      <c r="J181" s="19" t="s">
        <v>108</v>
      </c>
      <c r="K181" s="32" t="s">
        <v>109</v>
      </c>
      <c r="L181" s="22"/>
      <c r="M181" s="22"/>
      <c r="N181" s="22"/>
      <c r="O181" s="20" t="s">
        <v>15</v>
      </c>
      <c r="P181" s="25" t="s">
        <v>16</v>
      </c>
      <c r="Q181" s="16">
        <v>2958465</v>
      </c>
    </row>
    <row r="182" spans="1:20">
      <c r="A182" s="11">
        <f t="shared" si="2"/>
        <v>181</v>
      </c>
      <c r="B182" s="11">
        <v>8010024875</v>
      </c>
      <c r="C182" s="25" t="s">
        <v>161</v>
      </c>
      <c r="D182" s="27">
        <v>2434</v>
      </c>
      <c r="E182" s="11">
        <v>0.56000000000000005</v>
      </c>
      <c r="F182" s="11" t="s">
        <v>11</v>
      </c>
      <c r="G182" s="44">
        <v>1363</v>
      </c>
      <c r="H182" s="28">
        <v>1227.9279279279278</v>
      </c>
      <c r="I182" s="19" t="s">
        <v>107</v>
      </c>
      <c r="J182" s="19" t="s">
        <v>108</v>
      </c>
      <c r="K182" s="32" t="s">
        <v>109</v>
      </c>
      <c r="L182" s="22"/>
      <c r="M182" s="22"/>
      <c r="N182" s="22"/>
      <c r="O182" s="20" t="s">
        <v>15</v>
      </c>
      <c r="P182" s="25" t="s">
        <v>16</v>
      </c>
      <c r="Q182" s="16">
        <v>2958465</v>
      </c>
    </row>
    <row r="183" spans="1:20">
      <c r="A183" s="11">
        <f t="shared" si="2"/>
        <v>182</v>
      </c>
      <c r="B183" s="11">
        <v>8010024876</v>
      </c>
      <c r="C183" s="25" t="s">
        <v>162</v>
      </c>
      <c r="D183" s="27">
        <v>2532</v>
      </c>
      <c r="E183" s="11">
        <v>0.56000000000000005</v>
      </c>
      <c r="F183" s="11" t="s">
        <v>11</v>
      </c>
      <c r="G183" s="44">
        <v>1418</v>
      </c>
      <c r="H183" s="28">
        <v>1277.4774774774774</v>
      </c>
      <c r="I183" s="19" t="s">
        <v>107</v>
      </c>
      <c r="J183" s="19" t="s">
        <v>108</v>
      </c>
      <c r="K183" s="32" t="s">
        <v>109</v>
      </c>
      <c r="L183" s="22"/>
      <c r="M183" s="22"/>
      <c r="N183" s="22"/>
      <c r="O183" s="20" t="s">
        <v>15</v>
      </c>
      <c r="P183" s="25" t="s">
        <v>16</v>
      </c>
      <c r="Q183" s="16">
        <v>2958465</v>
      </c>
    </row>
    <row r="184" spans="1:20">
      <c r="A184" s="11">
        <f t="shared" si="2"/>
        <v>183</v>
      </c>
      <c r="B184" s="11">
        <v>8010024877</v>
      </c>
      <c r="C184" s="25" t="s">
        <v>163</v>
      </c>
      <c r="D184" s="27">
        <v>1655</v>
      </c>
      <c r="E184" s="11">
        <v>0.56000000000000005</v>
      </c>
      <c r="F184" s="11" t="s">
        <v>11</v>
      </c>
      <c r="G184" s="44">
        <v>927</v>
      </c>
      <c r="H184" s="28">
        <v>835.1351351351351</v>
      </c>
      <c r="I184" s="19" t="s">
        <v>107</v>
      </c>
      <c r="J184" s="19" t="s">
        <v>108</v>
      </c>
      <c r="K184" s="32" t="s">
        <v>109</v>
      </c>
      <c r="L184" s="22"/>
      <c r="M184" s="22"/>
      <c r="N184" s="22"/>
      <c r="O184" s="20" t="s">
        <v>15</v>
      </c>
      <c r="P184" s="25" t="s">
        <v>16</v>
      </c>
      <c r="Q184" s="16">
        <v>2958465</v>
      </c>
    </row>
    <row r="185" spans="1:20">
      <c r="A185" s="11">
        <f t="shared" si="2"/>
        <v>184</v>
      </c>
      <c r="B185" s="11">
        <v>8010024878</v>
      </c>
      <c r="C185" s="25" t="s">
        <v>164</v>
      </c>
      <c r="D185" s="27">
        <v>1850</v>
      </c>
      <c r="E185" s="11">
        <v>0.56000000000000005</v>
      </c>
      <c r="F185" s="11" t="s">
        <v>11</v>
      </c>
      <c r="G185" s="44">
        <v>1036</v>
      </c>
      <c r="H185" s="28">
        <v>933.33333333333326</v>
      </c>
      <c r="I185" s="19" t="s">
        <v>107</v>
      </c>
      <c r="J185" s="19" t="s">
        <v>108</v>
      </c>
      <c r="K185" s="32" t="s">
        <v>109</v>
      </c>
      <c r="L185" s="22"/>
      <c r="M185" s="22"/>
      <c r="N185" s="22"/>
      <c r="O185" s="20" t="s">
        <v>15</v>
      </c>
      <c r="P185" s="25" t="s">
        <v>16</v>
      </c>
      <c r="Q185" s="16">
        <v>2958465</v>
      </c>
    </row>
    <row r="186" spans="1:20">
      <c r="A186" s="11">
        <f t="shared" si="2"/>
        <v>185</v>
      </c>
      <c r="B186" s="11">
        <v>8010024948</v>
      </c>
      <c r="C186" s="25" t="s">
        <v>165</v>
      </c>
      <c r="D186" s="27">
        <v>135436</v>
      </c>
      <c r="E186" s="11">
        <v>0.56000000000000005</v>
      </c>
      <c r="F186" s="11" t="s">
        <v>11</v>
      </c>
      <c r="G186" s="44">
        <v>75844</v>
      </c>
      <c r="H186" s="28">
        <v>68327.927927927929</v>
      </c>
      <c r="I186" s="19" t="s">
        <v>107</v>
      </c>
      <c r="J186" s="19" t="s">
        <v>108</v>
      </c>
      <c r="K186" s="32" t="s">
        <v>109</v>
      </c>
      <c r="L186" s="22"/>
      <c r="M186" s="22"/>
      <c r="N186" s="22"/>
      <c r="O186" s="20" t="s">
        <v>15</v>
      </c>
      <c r="P186" s="25" t="s">
        <v>16</v>
      </c>
      <c r="Q186" s="16">
        <v>2958465</v>
      </c>
    </row>
    <row r="187" spans="1:20">
      <c r="A187" s="11">
        <f t="shared" si="2"/>
        <v>186</v>
      </c>
      <c r="B187" s="11">
        <v>8010024949</v>
      </c>
      <c r="C187" s="25" t="s">
        <v>166</v>
      </c>
      <c r="D187" s="27">
        <v>33104</v>
      </c>
      <c r="E187" s="11">
        <v>0.56000000000000005</v>
      </c>
      <c r="F187" s="11" t="s">
        <v>11</v>
      </c>
      <c r="G187" s="44">
        <v>18538</v>
      </c>
      <c r="H187" s="28">
        <v>16700.900900900899</v>
      </c>
      <c r="I187" s="19" t="s">
        <v>107</v>
      </c>
      <c r="J187" s="19" t="s">
        <v>108</v>
      </c>
      <c r="K187" s="32" t="s">
        <v>109</v>
      </c>
      <c r="L187" s="22"/>
      <c r="M187" s="22"/>
      <c r="N187" s="22"/>
      <c r="O187" s="20" t="s">
        <v>15</v>
      </c>
      <c r="P187" s="25" t="s">
        <v>16</v>
      </c>
      <c r="Q187" s="16">
        <v>2958465</v>
      </c>
    </row>
    <row r="188" spans="1:20">
      <c r="A188" s="11">
        <f t="shared" si="2"/>
        <v>187</v>
      </c>
      <c r="B188" s="11">
        <v>8010024982</v>
      </c>
      <c r="C188" s="25" t="s">
        <v>167</v>
      </c>
      <c r="D188" s="27">
        <v>267659</v>
      </c>
      <c r="E188" s="11">
        <v>0.56000000000000005</v>
      </c>
      <c r="F188" s="11" t="s">
        <v>11</v>
      </c>
      <c r="G188" s="44">
        <v>149889</v>
      </c>
      <c r="H188" s="28">
        <v>135035.13513513512</v>
      </c>
      <c r="I188" s="19" t="s">
        <v>107</v>
      </c>
      <c r="J188" s="19" t="s">
        <v>108</v>
      </c>
      <c r="K188" s="32" t="s">
        <v>109</v>
      </c>
      <c r="L188" s="22"/>
      <c r="M188" s="22"/>
      <c r="N188" s="22"/>
      <c r="O188" s="20" t="s">
        <v>15</v>
      </c>
      <c r="P188" s="25" t="s">
        <v>16</v>
      </c>
      <c r="Q188" s="16">
        <v>2958465</v>
      </c>
    </row>
    <row r="189" spans="1:20">
      <c r="A189" s="11">
        <f t="shared" si="2"/>
        <v>188</v>
      </c>
      <c r="B189" s="11">
        <v>8010025106</v>
      </c>
      <c r="C189" s="25" t="s">
        <v>168</v>
      </c>
      <c r="D189" s="27">
        <v>172630</v>
      </c>
      <c r="E189" s="11">
        <v>0.56000000000000005</v>
      </c>
      <c r="F189" s="11" t="s">
        <v>11</v>
      </c>
      <c r="G189" s="44">
        <v>96673</v>
      </c>
      <c r="H189" s="28">
        <v>87092.792792792781</v>
      </c>
      <c r="I189" s="19" t="s">
        <v>107</v>
      </c>
      <c r="J189" s="19" t="s">
        <v>108</v>
      </c>
      <c r="K189" s="32" t="s">
        <v>109</v>
      </c>
      <c r="L189" s="22"/>
      <c r="M189" s="22"/>
      <c r="N189" s="22"/>
      <c r="O189" s="20" t="s">
        <v>15</v>
      </c>
      <c r="P189" s="25" t="s">
        <v>16</v>
      </c>
      <c r="Q189" s="16">
        <v>2958465</v>
      </c>
    </row>
    <row r="190" spans="1:20">
      <c r="A190" s="11">
        <f t="shared" si="2"/>
        <v>189</v>
      </c>
      <c r="B190" s="11">
        <v>8010025107</v>
      </c>
      <c r="C190" s="25" t="s">
        <v>169</v>
      </c>
      <c r="D190" s="27">
        <v>102526</v>
      </c>
      <c r="E190" s="11">
        <v>0.56000000000000005</v>
      </c>
      <c r="F190" s="11" t="s">
        <v>11</v>
      </c>
      <c r="G190" s="44">
        <v>57415</v>
      </c>
      <c r="H190" s="28">
        <v>51725.225225225222</v>
      </c>
      <c r="I190" s="19" t="s">
        <v>107</v>
      </c>
      <c r="J190" s="19" t="s">
        <v>108</v>
      </c>
      <c r="K190" s="32" t="s">
        <v>109</v>
      </c>
      <c r="L190" s="22"/>
      <c r="M190" s="22"/>
      <c r="N190" s="22"/>
      <c r="O190" s="20" t="s">
        <v>15</v>
      </c>
      <c r="P190" s="25" t="s">
        <v>16</v>
      </c>
      <c r="Q190" s="16">
        <v>2958465</v>
      </c>
    </row>
    <row r="191" spans="1:20" ht="15">
      <c r="A191" s="11">
        <f t="shared" si="2"/>
        <v>190</v>
      </c>
      <c r="B191" s="34">
        <v>8010025333</v>
      </c>
      <c r="C191" s="35" t="s">
        <v>1446</v>
      </c>
      <c r="D191" s="34"/>
      <c r="E191" s="34"/>
      <c r="F191" s="34" t="s">
        <v>11</v>
      </c>
      <c r="G191" s="45">
        <v>0</v>
      </c>
      <c r="H191" s="34">
        <v>0</v>
      </c>
      <c r="I191" s="34"/>
      <c r="J191" s="34"/>
      <c r="K191" s="34"/>
      <c r="L191" s="34"/>
      <c r="M191" s="34"/>
      <c r="N191" s="34"/>
      <c r="O191" s="34"/>
      <c r="P191" s="34"/>
      <c r="Q191" s="16">
        <v>2958465</v>
      </c>
      <c r="R191" s="36"/>
      <c r="S191" s="36"/>
      <c r="T191" s="36"/>
    </row>
    <row r="192" spans="1:20">
      <c r="A192" s="11">
        <f t="shared" si="2"/>
        <v>191</v>
      </c>
      <c r="B192" s="11">
        <v>8010025487</v>
      </c>
      <c r="C192" s="25" t="s">
        <v>170</v>
      </c>
      <c r="D192" s="27">
        <v>328026</v>
      </c>
      <c r="E192" s="11">
        <v>0.56000000000000005</v>
      </c>
      <c r="F192" s="11" t="s">
        <v>11</v>
      </c>
      <c r="G192" s="44">
        <v>183695</v>
      </c>
      <c r="H192" s="28">
        <v>165490.99099099098</v>
      </c>
      <c r="I192" s="19" t="s">
        <v>107</v>
      </c>
      <c r="J192" s="19" t="s">
        <v>108</v>
      </c>
      <c r="K192" s="32" t="s">
        <v>109</v>
      </c>
      <c r="L192" s="22"/>
      <c r="M192" s="22"/>
      <c r="N192" s="22"/>
      <c r="O192" s="20" t="s">
        <v>15</v>
      </c>
      <c r="P192" s="25" t="s">
        <v>16</v>
      </c>
      <c r="Q192" s="16">
        <v>2958465</v>
      </c>
    </row>
    <row r="193" spans="1:17">
      <c r="A193" s="11">
        <f t="shared" si="2"/>
        <v>192</v>
      </c>
      <c r="B193" s="12">
        <v>8010040596</v>
      </c>
      <c r="C193" s="30" t="s">
        <v>1393</v>
      </c>
      <c r="D193" s="30"/>
      <c r="E193" s="30"/>
      <c r="F193" s="30"/>
      <c r="G193" s="43">
        <v>79723</v>
      </c>
      <c r="H193" s="31">
        <v>71822.522522522515</v>
      </c>
      <c r="I193" s="13" t="s">
        <v>1187</v>
      </c>
      <c r="J193" s="13" t="s">
        <v>1188</v>
      </c>
      <c r="K193" s="14"/>
      <c r="L193" s="12" t="s">
        <v>1266</v>
      </c>
      <c r="M193" s="12" t="s">
        <v>11</v>
      </c>
      <c r="N193" s="15" t="s">
        <v>1267</v>
      </c>
      <c r="O193" s="15" t="s">
        <v>15</v>
      </c>
      <c r="P193" s="12" t="s">
        <v>1364</v>
      </c>
      <c r="Q193" s="16">
        <v>2958465</v>
      </c>
    </row>
    <row r="194" spans="1:17">
      <c r="A194" s="11">
        <f t="shared" si="2"/>
        <v>193</v>
      </c>
      <c r="B194" s="11">
        <v>8010060765</v>
      </c>
      <c r="C194" s="25" t="s">
        <v>1103</v>
      </c>
      <c r="D194" s="27">
        <v>935000</v>
      </c>
      <c r="E194" s="11">
        <v>0.48</v>
      </c>
      <c r="F194" s="11" t="s">
        <v>11</v>
      </c>
      <c r="G194" s="44">
        <v>448800</v>
      </c>
      <c r="H194" s="28">
        <v>404324.32432432426</v>
      </c>
      <c r="I194" s="19" t="s">
        <v>654</v>
      </c>
      <c r="J194" s="19" t="s">
        <v>655</v>
      </c>
      <c r="K194" s="32" t="s">
        <v>1077</v>
      </c>
      <c r="L194" s="22"/>
      <c r="M194" s="22"/>
      <c r="N194" s="22"/>
      <c r="O194" s="20" t="s">
        <v>15</v>
      </c>
      <c r="P194" s="25" t="s">
        <v>16</v>
      </c>
      <c r="Q194" s="16">
        <v>2958465</v>
      </c>
    </row>
    <row r="195" spans="1:17">
      <c r="A195" s="11">
        <f t="shared" si="2"/>
        <v>194</v>
      </c>
      <c r="B195" s="11">
        <v>8010060766</v>
      </c>
      <c r="C195" s="25" t="s">
        <v>1104</v>
      </c>
      <c r="D195" s="27">
        <v>1225000</v>
      </c>
      <c r="E195" s="11">
        <v>0.48</v>
      </c>
      <c r="F195" s="11" t="s">
        <v>11</v>
      </c>
      <c r="G195" s="44">
        <v>588000</v>
      </c>
      <c r="H195" s="28">
        <v>529729.7297297297</v>
      </c>
      <c r="I195" s="19" t="s">
        <v>654</v>
      </c>
      <c r="J195" s="19" t="s">
        <v>655</v>
      </c>
      <c r="K195" s="32" t="s">
        <v>1077</v>
      </c>
      <c r="L195" s="22"/>
      <c r="M195" s="22"/>
      <c r="N195" s="22"/>
      <c r="O195" s="20" t="s">
        <v>15</v>
      </c>
      <c r="P195" s="25" t="s">
        <v>16</v>
      </c>
      <c r="Q195" s="16">
        <v>2958465</v>
      </c>
    </row>
    <row r="196" spans="1:17">
      <c r="A196" s="11">
        <f t="shared" si="2"/>
        <v>195</v>
      </c>
      <c r="B196" s="11">
        <v>8010060767</v>
      </c>
      <c r="C196" s="25" t="s">
        <v>1109</v>
      </c>
      <c r="D196" s="27">
        <v>1965000</v>
      </c>
      <c r="E196" s="11">
        <v>0.48</v>
      </c>
      <c r="F196" s="11" t="s">
        <v>11</v>
      </c>
      <c r="G196" s="44">
        <v>943200</v>
      </c>
      <c r="H196" s="28">
        <v>849729.7297297297</v>
      </c>
      <c r="I196" s="19" t="s">
        <v>654</v>
      </c>
      <c r="J196" s="19" t="s">
        <v>655</v>
      </c>
      <c r="K196" s="32" t="s">
        <v>1077</v>
      </c>
      <c r="L196" s="22"/>
      <c r="M196" s="22"/>
      <c r="N196" s="22"/>
      <c r="O196" s="20" t="s">
        <v>15</v>
      </c>
      <c r="P196" s="25" t="s">
        <v>16</v>
      </c>
      <c r="Q196" s="16">
        <v>2958465</v>
      </c>
    </row>
    <row r="197" spans="1:17">
      <c r="A197" s="11">
        <f t="shared" ref="A197:A260" si="3">ROW()-1</f>
        <v>196</v>
      </c>
      <c r="B197" s="11">
        <v>8010060768</v>
      </c>
      <c r="C197" s="25" t="s">
        <v>1091</v>
      </c>
      <c r="D197" s="27">
        <v>1297500</v>
      </c>
      <c r="E197" s="11">
        <v>0.48</v>
      </c>
      <c r="F197" s="11" t="s">
        <v>11</v>
      </c>
      <c r="G197" s="44">
        <v>622800</v>
      </c>
      <c r="H197" s="28">
        <v>561081.08108108107</v>
      </c>
      <c r="I197" s="19" t="s">
        <v>654</v>
      </c>
      <c r="J197" s="19" t="s">
        <v>655</v>
      </c>
      <c r="K197" s="32" t="s">
        <v>1077</v>
      </c>
      <c r="L197" s="22"/>
      <c r="M197" s="22"/>
      <c r="N197" s="22"/>
      <c r="O197" s="20" t="s">
        <v>15</v>
      </c>
      <c r="P197" s="25" t="s">
        <v>16</v>
      </c>
      <c r="Q197" s="16">
        <v>2958465</v>
      </c>
    </row>
    <row r="198" spans="1:17">
      <c r="A198" s="11">
        <f t="shared" si="3"/>
        <v>197</v>
      </c>
      <c r="B198" s="11">
        <v>8010060769</v>
      </c>
      <c r="C198" s="25" t="s">
        <v>1092</v>
      </c>
      <c r="D198" s="27">
        <v>1990000</v>
      </c>
      <c r="E198" s="11">
        <v>0.48</v>
      </c>
      <c r="F198" s="11" t="s">
        <v>11</v>
      </c>
      <c r="G198" s="44">
        <v>955200</v>
      </c>
      <c r="H198" s="28">
        <v>860540.54054054047</v>
      </c>
      <c r="I198" s="19" t="s">
        <v>654</v>
      </c>
      <c r="J198" s="19" t="s">
        <v>655</v>
      </c>
      <c r="K198" s="32" t="s">
        <v>1077</v>
      </c>
      <c r="L198" s="22"/>
      <c r="M198" s="22"/>
      <c r="N198" s="22"/>
      <c r="O198" s="20" t="s">
        <v>15</v>
      </c>
      <c r="P198" s="25" t="s">
        <v>16</v>
      </c>
      <c r="Q198" s="16">
        <v>2958465</v>
      </c>
    </row>
    <row r="199" spans="1:17">
      <c r="A199" s="11">
        <f t="shared" si="3"/>
        <v>198</v>
      </c>
      <c r="B199" s="11">
        <v>8010060770</v>
      </c>
      <c r="C199" s="25" t="s">
        <v>1107</v>
      </c>
      <c r="D199" s="27">
        <v>3267500</v>
      </c>
      <c r="E199" s="11">
        <v>0.48</v>
      </c>
      <c r="F199" s="11" t="s">
        <v>11</v>
      </c>
      <c r="G199" s="44">
        <v>1568400</v>
      </c>
      <c r="H199" s="28">
        <v>1412972.9729729728</v>
      </c>
      <c r="I199" s="19" t="s">
        <v>654</v>
      </c>
      <c r="J199" s="19" t="s">
        <v>655</v>
      </c>
      <c r="K199" s="32" t="s">
        <v>1077</v>
      </c>
      <c r="L199" s="22"/>
      <c r="M199" s="22"/>
      <c r="N199" s="22"/>
      <c r="O199" s="20" t="s">
        <v>15</v>
      </c>
      <c r="P199" s="25" t="s">
        <v>16</v>
      </c>
      <c r="Q199" s="16">
        <v>2958465</v>
      </c>
    </row>
    <row r="200" spans="1:17">
      <c r="A200" s="11">
        <f t="shared" si="3"/>
        <v>199</v>
      </c>
      <c r="B200" s="11">
        <v>8010060771</v>
      </c>
      <c r="C200" s="25" t="s">
        <v>1093</v>
      </c>
      <c r="D200" s="27">
        <v>37400</v>
      </c>
      <c r="E200" s="11">
        <v>0.48</v>
      </c>
      <c r="F200" s="11" t="s">
        <v>11</v>
      </c>
      <c r="G200" s="44">
        <v>17952</v>
      </c>
      <c r="H200" s="28">
        <v>16172.972972972972</v>
      </c>
      <c r="I200" s="19" t="s">
        <v>654</v>
      </c>
      <c r="J200" s="19" t="s">
        <v>655</v>
      </c>
      <c r="K200" s="32" t="s">
        <v>1077</v>
      </c>
      <c r="L200" s="22"/>
      <c r="M200" s="22"/>
      <c r="N200" s="22"/>
      <c r="O200" s="20" t="s">
        <v>15</v>
      </c>
      <c r="P200" s="25" t="s">
        <v>16</v>
      </c>
      <c r="Q200" s="16">
        <v>2958465</v>
      </c>
    </row>
    <row r="201" spans="1:17">
      <c r="A201" s="11">
        <f t="shared" si="3"/>
        <v>200</v>
      </c>
      <c r="B201" s="11">
        <v>8010060772</v>
      </c>
      <c r="C201" s="25" t="s">
        <v>1094</v>
      </c>
      <c r="D201" s="27">
        <v>49000</v>
      </c>
      <c r="E201" s="11">
        <v>0.48</v>
      </c>
      <c r="F201" s="11" t="s">
        <v>11</v>
      </c>
      <c r="G201" s="44">
        <v>23520</v>
      </c>
      <c r="H201" s="28">
        <v>21189.189189189186</v>
      </c>
      <c r="I201" s="19" t="s">
        <v>654</v>
      </c>
      <c r="J201" s="19" t="s">
        <v>655</v>
      </c>
      <c r="K201" s="32" t="s">
        <v>1077</v>
      </c>
      <c r="L201" s="22"/>
      <c r="M201" s="22"/>
      <c r="N201" s="22"/>
      <c r="O201" s="20" t="s">
        <v>15</v>
      </c>
      <c r="P201" s="25" t="s">
        <v>16</v>
      </c>
      <c r="Q201" s="16">
        <v>2958465</v>
      </c>
    </row>
    <row r="202" spans="1:17">
      <c r="A202" s="11">
        <f t="shared" si="3"/>
        <v>201</v>
      </c>
      <c r="B202" s="11">
        <v>8010060773</v>
      </c>
      <c r="C202" s="25" t="s">
        <v>1095</v>
      </c>
      <c r="D202" s="27">
        <v>78600</v>
      </c>
      <c r="E202" s="11">
        <v>0.48</v>
      </c>
      <c r="F202" s="11" t="s">
        <v>11</v>
      </c>
      <c r="G202" s="44">
        <v>37728</v>
      </c>
      <c r="H202" s="28">
        <v>33989.189189189186</v>
      </c>
      <c r="I202" s="19" t="s">
        <v>654</v>
      </c>
      <c r="J202" s="19" t="s">
        <v>655</v>
      </c>
      <c r="K202" s="32" t="s">
        <v>1077</v>
      </c>
      <c r="L202" s="22"/>
      <c r="M202" s="22"/>
      <c r="N202" s="22"/>
      <c r="O202" s="20" t="s">
        <v>15</v>
      </c>
      <c r="P202" s="25" t="s">
        <v>16</v>
      </c>
      <c r="Q202" s="16">
        <v>2958465</v>
      </c>
    </row>
    <row r="203" spans="1:17">
      <c r="A203" s="11">
        <f t="shared" si="3"/>
        <v>202</v>
      </c>
      <c r="B203" s="11">
        <v>8010060774</v>
      </c>
      <c r="C203" s="25" t="s">
        <v>1096</v>
      </c>
      <c r="D203" s="27">
        <v>127800</v>
      </c>
      <c r="E203" s="11">
        <v>0.48</v>
      </c>
      <c r="F203" s="11" t="s">
        <v>11</v>
      </c>
      <c r="G203" s="44">
        <v>61344</v>
      </c>
      <c r="H203" s="28">
        <v>55264.86486486486</v>
      </c>
      <c r="I203" s="19" t="s">
        <v>654</v>
      </c>
      <c r="J203" s="19" t="s">
        <v>655</v>
      </c>
      <c r="K203" s="32" t="s">
        <v>1077</v>
      </c>
      <c r="L203" s="22"/>
      <c r="M203" s="22"/>
      <c r="N203" s="22"/>
      <c r="O203" s="20" t="s">
        <v>15</v>
      </c>
      <c r="P203" s="25" t="s">
        <v>16</v>
      </c>
      <c r="Q203" s="16">
        <v>2958465</v>
      </c>
    </row>
    <row r="204" spans="1:17">
      <c r="A204" s="11">
        <f t="shared" si="3"/>
        <v>203</v>
      </c>
      <c r="B204" s="11">
        <v>8010060775</v>
      </c>
      <c r="C204" s="25" t="s">
        <v>1097</v>
      </c>
      <c r="D204" s="27">
        <v>198000</v>
      </c>
      <c r="E204" s="11">
        <v>0.48</v>
      </c>
      <c r="F204" s="11" t="s">
        <v>11</v>
      </c>
      <c r="G204" s="44">
        <v>95040</v>
      </c>
      <c r="H204" s="28">
        <v>85621.621621621613</v>
      </c>
      <c r="I204" s="19" t="s">
        <v>654</v>
      </c>
      <c r="J204" s="19" t="s">
        <v>655</v>
      </c>
      <c r="K204" s="32" t="s">
        <v>1077</v>
      </c>
      <c r="L204" s="22"/>
      <c r="M204" s="22"/>
      <c r="N204" s="22"/>
      <c r="O204" s="20" t="s">
        <v>15</v>
      </c>
      <c r="P204" s="25" t="s">
        <v>16</v>
      </c>
      <c r="Q204" s="16">
        <v>2958465</v>
      </c>
    </row>
    <row r="205" spans="1:17">
      <c r="A205" s="11">
        <f t="shared" si="3"/>
        <v>204</v>
      </c>
      <c r="B205" s="11">
        <v>8010060776</v>
      </c>
      <c r="C205" s="25" t="s">
        <v>1098</v>
      </c>
      <c r="D205" s="27">
        <v>313400</v>
      </c>
      <c r="E205" s="11">
        <v>0.48</v>
      </c>
      <c r="F205" s="11" t="s">
        <v>11</v>
      </c>
      <c r="G205" s="44">
        <v>150432</v>
      </c>
      <c r="H205" s="28">
        <v>135524.32432432432</v>
      </c>
      <c r="I205" s="19" t="s">
        <v>654</v>
      </c>
      <c r="J205" s="19" t="s">
        <v>655</v>
      </c>
      <c r="K205" s="32" t="s">
        <v>1077</v>
      </c>
      <c r="L205" s="22"/>
      <c r="M205" s="22"/>
      <c r="N205" s="22"/>
      <c r="O205" s="20" t="s">
        <v>15</v>
      </c>
      <c r="P205" s="25" t="s">
        <v>16</v>
      </c>
      <c r="Q205" s="16">
        <v>2958465</v>
      </c>
    </row>
    <row r="206" spans="1:17">
      <c r="A206" s="11">
        <f t="shared" si="3"/>
        <v>205</v>
      </c>
      <c r="B206" s="11">
        <v>8010060777</v>
      </c>
      <c r="C206" s="25" t="s">
        <v>1105</v>
      </c>
      <c r="D206" s="27">
        <v>438600</v>
      </c>
      <c r="E206" s="11">
        <v>0.48</v>
      </c>
      <c r="F206" s="11" t="s">
        <v>11</v>
      </c>
      <c r="G206" s="44">
        <v>210528</v>
      </c>
      <c r="H206" s="28">
        <v>189664.86486486485</v>
      </c>
      <c r="I206" s="19" t="s">
        <v>654</v>
      </c>
      <c r="J206" s="19" t="s">
        <v>655</v>
      </c>
      <c r="K206" s="32" t="s">
        <v>1077</v>
      </c>
      <c r="L206" s="22"/>
      <c r="M206" s="22"/>
      <c r="N206" s="22"/>
      <c r="O206" s="20" t="s">
        <v>15</v>
      </c>
      <c r="P206" s="25" t="s">
        <v>16</v>
      </c>
      <c r="Q206" s="16">
        <v>2958465</v>
      </c>
    </row>
    <row r="207" spans="1:17">
      <c r="A207" s="11">
        <f t="shared" si="3"/>
        <v>206</v>
      </c>
      <c r="B207" s="11">
        <v>8010060778</v>
      </c>
      <c r="C207" s="25" t="s">
        <v>1099</v>
      </c>
      <c r="D207" s="27">
        <v>656000</v>
      </c>
      <c r="E207" s="11">
        <v>0.48</v>
      </c>
      <c r="F207" s="11" t="s">
        <v>11</v>
      </c>
      <c r="G207" s="44">
        <v>314880</v>
      </c>
      <c r="H207" s="28">
        <v>283675.67567567562</v>
      </c>
      <c r="I207" s="19" t="s">
        <v>654</v>
      </c>
      <c r="J207" s="19" t="s">
        <v>655</v>
      </c>
      <c r="K207" s="32" t="s">
        <v>1077</v>
      </c>
      <c r="L207" s="22"/>
      <c r="M207" s="22"/>
      <c r="N207" s="22"/>
      <c r="O207" s="20" t="s">
        <v>15</v>
      </c>
      <c r="P207" s="25" t="s">
        <v>16</v>
      </c>
      <c r="Q207" s="16">
        <v>2958465</v>
      </c>
    </row>
    <row r="208" spans="1:17">
      <c r="A208" s="11">
        <f t="shared" si="3"/>
        <v>207</v>
      </c>
      <c r="B208" s="11">
        <v>8010060779</v>
      </c>
      <c r="C208" s="25" t="s">
        <v>1100</v>
      </c>
      <c r="D208" s="27">
        <v>974200</v>
      </c>
      <c r="E208" s="11">
        <v>0.48</v>
      </c>
      <c r="F208" s="11" t="s">
        <v>11</v>
      </c>
      <c r="G208" s="44">
        <v>467616</v>
      </c>
      <c r="H208" s="28">
        <v>421275.67567567562</v>
      </c>
      <c r="I208" s="19" t="s">
        <v>654</v>
      </c>
      <c r="J208" s="19" t="s">
        <v>655</v>
      </c>
      <c r="K208" s="32" t="s">
        <v>1077</v>
      </c>
      <c r="L208" s="22"/>
      <c r="M208" s="22"/>
      <c r="N208" s="22"/>
      <c r="O208" s="20" t="s">
        <v>15</v>
      </c>
      <c r="P208" s="25" t="s">
        <v>16</v>
      </c>
      <c r="Q208" s="16">
        <v>2958465</v>
      </c>
    </row>
    <row r="209" spans="1:17">
      <c r="A209" s="11">
        <f t="shared" si="3"/>
        <v>208</v>
      </c>
      <c r="B209" s="11">
        <v>8010060780</v>
      </c>
      <c r="C209" s="25" t="s">
        <v>1110</v>
      </c>
      <c r="D209" s="27">
        <v>3319800</v>
      </c>
      <c r="E209" s="11">
        <v>0.48</v>
      </c>
      <c r="F209" s="11" t="s">
        <v>11</v>
      </c>
      <c r="G209" s="44">
        <v>1593504</v>
      </c>
      <c r="H209" s="28">
        <v>1435589.1891891891</v>
      </c>
      <c r="I209" s="19" t="s">
        <v>654</v>
      </c>
      <c r="J209" s="19" t="s">
        <v>655</v>
      </c>
      <c r="K209" s="32" t="s">
        <v>1077</v>
      </c>
      <c r="L209" s="22"/>
      <c r="M209" s="22"/>
      <c r="N209" s="22"/>
      <c r="O209" s="20" t="s">
        <v>15</v>
      </c>
      <c r="P209" s="25" t="s">
        <v>16</v>
      </c>
      <c r="Q209" s="16">
        <v>2958465</v>
      </c>
    </row>
    <row r="210" spans="1:17">
      <c r="A210" s="11">
        <f t="shared" si="3"/>
        <v>209</v>
      </c>
      <c r="B210" s="11">
        <v>8010060781</v>
      </c>
      <c r="C210" s="25" t="s">
        <v>1106</v>
      </c>
      <c r="D210" s="27">
        <v>51900</v>
      </c>
      <c r="E210" s="11">
        <v>0.48</v>
      </c>
      <c r="F210" s="11" t="s">
        <v>11</v>
      </c>
      <c r="G210" s="44">
        <v>24912</v>
      </c>
      <c r="H210" s="28">
        <v>22443.24324324324</v>
      </c>
      <c r="I210" s="19" t="s">
        <v>654</v>
      </c>
      <c r="J210" s="19" t="s">
        <v>655</v>
      </c>
      <c r="K210" s="32" t="s">
        <v>1077</v>
      </c>
      <c r="L210" s="22"/>
      <c r="M210" s="22"/>
      <c r="N210" s="22"/>
      <c r="O210" s="20" t="s">
        <v>15</v>
      </c>
      <c r="P210" s="25" t="s">
        <v>16</v>
      </c>
      <c r="Q210" s="16">
        <v>2958465</v>
      </c>
    </row>
    <row r="211" spans="1:17">
      <c r="A211" s="11">
        <f t="shared" si="3"/>
        <v>210</v>
      </c>
      <c r="B211" s="11">
        <v>8010060782</v>
      </c>
      <c r="C211" s="25" t="s">
        <v>1101</v>
      </c>
      <c r="D211" s="27">
        <v>79600</v>
      </c>
      <c r="E211" s="11">
        <v>0.48</v>
      </c>
      <c r="F211" s="11" t="s">
        <v>11</v>
      </c>
      <c r="G211" s="44">
        <v>38208</v>
      </c>
      <c r="H211" s="28">
        <v>34421.62162162162</v>
      </c>
      <c r="I211" s="19" t="s">
        <v>654</v>
      </c>
      <c r="J211" s="19" t="s">
        <v>655</v>
      </c>
      <c r="K211" s="32" t="s">
        <v>1077</v>
      </c>
      <c r="L211" s="22"/>
      <c r="M211" s="22"/>
      <c r="N211" s="22"/>
      <c r="O211" s="20" t="s">
        <v>15</v>
      </c>
      <c r="P211" s="25" t="s">
        <v>16</v>
      </c>
      <c r="Q211" s="16">
        <v>2958465</v>
      </c>
    </row>
    <row r="212" spans="1:17">
      <c r="A212" s="11">
        <f t="shared" si="3"/>
        <v>211</v>
      </c>
      <c r="B212" s="11">
        <v>8010060783</v>
      </c>
      <c r="C212" s="25" t="s">
        <v>1108</v>
      </c>
      <c r="D212" s="27">
        <v>130700</v>
      </c>
      <c r="E212" s="11">
        <v>0.48</v>
      </c>
      <c r="F212" s="11" t="s">
        <v>11</v>
      </c>
      <c r="G212" s="44">
        <v>62736</v>
      </c>
      <c r="H212" s="28">
        <v>56518.918918918913</v>
      </c>
      <c r="I212" s="19" t="s">
        <v>654</v>
      </c>
      <c r="J212" s="19" t="s">
        <v>655</v>
      </c>
      <c r="K212" s="32" t="s">
        <v>1077</v>
      </c>
      <c r="L212" s="22"/>
      <c r="M212" s="22"/>
      <c r="N212" s="22"/>
      <c r="O212" s="20" t="s">
        <v>15</v>
      </c>
      <c r="P212" s="25" t="s">
        <v>16</v>
      </c>
      <c r="Q212" s="16">
        <v>2958465</v>
      </c>
    </row>
    <row r="213" spans="1:17">
      <c r="A213" s="11">
        <f t="shared" si="3"/>
        <v>212</v>
      </c>
      <c r="B213" s="11">
        <v>8010060784</v>
      </c>
      <c r="C213" s="25" t="s">
        <v>1090</v>
      </c>
      <c r="D213" s="27">
        <v>206500</v>
      </c>
      <c r="E213" s="11">
        <v>0.48</v>
      </c>
      <c r="F213" s="11" t="s">
        <v>11</v>
      </c>
      <c r="G213" s="44">
        <v>99120</v>
      </c>
      <c r="H213" s="28">
        <v>89297.297297297293</v>
      </c>
      <c r="I213" s="19" t="s">
        <v>654</v>
      </c>
      <c r="J213" s="19" t="s">
        <v>655</v>
      </c>
      <c r="K213" s="32" t="s">
        <v>1077</v>
      </c>
      <c r="L213" s="22"/>
      <c r="M213" s="22"/>
      <c r="N213" s="22"/>
      <c r="O213" s="20" t="s">
        <v>15</v>
      </c>
      <c r="P213" s="25" t="s">
        <v>16</v>
      </c>
      <c r="Q213" s="16">
        <v>2958465</v>
      </c>
    </row>
    <row r="214" spans="1:17">
      <c r="A214" s="11">
        <f t="shared" si="3"/>
        <v>213</v>
      </c>
      <c r="B214" s="11">
        <v>8010060785</v>
      </c>
      <c r="C214" s="25" t="s">
        <v>1102</v>
      </c>
      <c r="D214" s="27">
        <v>322700</v>
      </c>
      <c r="E214" s="11">
        <v>0.48</v>
      </c>
      <c r="F214" s="11" t="s">
        <v>11</v>
      </c>
      <c r="G214" s="44">
        <v>154896</v>
      </c>
      <c r="H214" s="28">
        <v>139545.94594594595</v>
      </c>
      <c r="I214" s="19" t="s">
        <v>654</v>
      </c>
      <c r="J214" s="19" t="s">
        <v>655</v>
      </c>
      <c r="K214" s="32" t="s">
        <v>1077</v>
      </c>
      <c r="L214" s="22"/>
      <c r="M214" s="22"/>
      <c r="N214" s="22"/>
      <c r="O214" s="20" t="s">
        <v>15</v>
      </c>
      <c r="P214" s="25" t="s">
        <v>16</v>
      </c>
      <c r="Q214" s="16">
        <v>2958465</v>
      </c>
    </row>
    <row r="215" spans="1:17">
      <c r="A215" s="11">
        <f t="shared" si="3"/>
        <v>214</v>
      </c>
      <c r="B215" s="11">
        <v>8010060786</v>
      </c>
      <c r="C215" s="25" t="s">
        <v>1076</v>
      </c>
      <c r="D215" s="27">
        <v>511200</v>
      </c>
      <c r="E215" s="11">
        <v>0.48</v>
      </c>
      <c r="F215" s="11" t="s">
        <v>11</v>
      </c>
      <c r="G215" s="44">
        <v>245376</v>
      </c>
      <c r="H215" s="28">
        <v>221059.45945945944</v>
      </c>
      <c r="I215" s="19" t="s">
        <v>654</v>
      </c>
      <c r="J215" s="19" t="s">
        <v>655</v>
      </c>
      <c r="K215" s="32" t="s">
        <v>1077</v>
      </c>
      <c r="L215" s="22"/>
      <c r="M215" s="22"/>
      <c r="N215" s="22"/>
      <c r="O215" s="20" t="s">
        <v>15</v>
      </c>
      <c r="P215" s="25" t="s">
        <v>16</v>
      </c>
      <c r="Q215" s="16">
        <v>2958465</v>
      </c>
    </row>
    <row r="216" spans="1:17">
      <c r="A216" s="11">
        <f t="shared" si="3"/>
        <v>215</v>
      </c>
      <c r="B216" s="11">
        <v>8010060787</v>
      </c>
      <c r="C216" s="25" t="s">
        <v>1078</v>
      </c>
      <c r="D216" s="27">
        <v>723700</v>
      </c>
      <c r="E216" s="11">
        <v>0.48</v>
      </c>
      <c r="F216" s="11" t="s">
        <v>11</v>
      </c>
      <c r="G216" s="44">
        <v>347376</v>
      </c>
      <c r="H216" s="28">
        <v>312951.3513513513</v>
      </c>
      <c r="I216" s="19" t="s">
        <v>654</v>
      </c>
      <c r="J216" s="19" t="s">
        <v>655</v>
      </c>
      <c r="K216" s="32" t="s">
        <v>1077</v>
      </c>
      <c r="L216" s="22"/>
      <c r="M216" s="22"/>
      <c r="N216" s="22"/>
      <c r="O216" s="20" t="s">
        <v>15</v>
      </c>
      <c r="P216" s="25" t="s">
        <v>16</v>
      </c>
      <c r="Q216" s="16">
        <v>2958465</v>
      </c>
    </row>
    <row r="217" spans="1:17">
      <c r="A217" s="11">
        <f t="shared" si="3"/>
        <v>216</v>
      </c>
      <c r="B217" s="11">
        <v>8010060788</v>
      </c>
      <c r="C217" s="25" t="s">
        <v>1079</v>
      </c>
      <c r="D217" s="27">
        <v>1078200</v>
      </c>
      <c r="E217" s="11">
        <v>0.48</v>
      </c>
      <c r="F217" s="11" t="s">
        <v>11</v>
      </c>
      <c r="G217" s="44">
        <v>517536</v>
      </c>
      <c r="H217" s="28">
        <v>466248.64864864858</v>
      </c>
      <c r="I217" s="19" t="s">
        <v>654</v>
      </c>
      <c r="J217" s="19" t="s">
        <v>655</v>
      </c>
      <c r="K217" s="32" t="s">
        <v>1077</v>
      </c>
      <c r="L217" s="22"/>
      <c r="M217" s="22"/>
      <c r="N217" s="22"/>
      <c r="O217" s="20" t="s">
        <v>15</v>
      </c>
      <c r="P217" s="25" t="s">
        <v>16</v>
      </c>
      <c r="Q217" s="16">
        <v>2958465</v>
      </c>
    </row>
    <row r="218" spans="1:17">
      <c r="A218" s="11">
        <f t="shared" si="3"/>
        <v>217</v>
      </c>
      <c r="B218" s="11">
        <v>8010060789</v>
      </c>
      <c r="C218" s="25" t="s">
        <v>1080</v>
      </c>
      <c r="D218" s="27">
        <v>1611200</v>
      </c>
      <c r="E218" s="11">
        <v>0.48</v>
      </c>
      <c r="F218" s="11" t="s">
        <v>11</v>
      </c>
      <c r="G218" s="44">
        <v>773376</v>
      </c>
      <c r="H218" s="28">
        <v>696735.13513513503</v>
      </c>
      <c r="I218" s="19" t="s">
        <v>654</v>
      </c>
      <c r="J218" s="19" t="s">
        <v>655</v>
      </c>
      <c r="K218" s="32" t="s">
        <v>1077</v>
      </c>
      <c r="L218" s="22"/>
      <c r="M218" s="22"/>
      <c r="N218" s="22"/>
      <c r="O218" s="20" t="s">
        <v>15</v>
      </c>
      <c r="P218" s="25" t="s">
        <v>16</v>
      </c>
      <c r="Q218" s="16">
        <v>2958465</v>
      </c>
    </row>
    <row r="219" spans="1:17">
      <c r="A219" s="11">
        <f t="shared" si="3"/>
        <v>218</v>
      </c>
      <c r="B219" s="11">
        <v>8010061048</v>
      </c>
      <c r="C219" s="25" t="s">
        <v>1111</v>
      </c>
      <c r="D219" s="27">
        <v>5490500</v>
      </c>
      <c r="E219" s="11">
        <v>0.48</v>
      </c>
      <c r="F219" s="11" t="s">
        <v>11</v>
      </c>
      <c r="G219" s="44">
        <v>2635440</v>
      </c>
      <c r="H219" s="28">
        <v>2374270.2702702698</v>
      </c>
      <c r="I219" s="19" t="s">
        <v>654</v>
      </c>
      <c r="J219" s="19" t="s">
        <v>655</v>
      </c>
      <c r="K219" s="32" t="s">
        <v>1077</v>
      </c>
      <c r="L219" s="22"/>
      <c r="M219" s="22"/>
      <c r="N219" s="22"/>
      <c r="O219" s="20" t="s">
        <v>15</v>
      </c>
      <c r="P219" s="25" t="s">
        <v>16</v>
      </c>
      <c r="Q219" s="16">
        <v>2958465</v>
      </c>
    </row>
    <row r="220" spans="1:17">
      <c r="A220" s="11">
        <f t="shared" si="3"/>
        <v>219</v>
      </c>
      <c r="B220" s="11">
        <v>8010061297</v>
      </c>
      <c r="C220" s="25" t="s">
        <v>1081</v>
      </c>
      <c r="D220" s="27">
        <v>1429900</v>
      </c>
      <c r="E220" s="11">
        <v>0.48</v>
      </c>
      <c r="F220" s="11" t="s">
        <v>11</v>
      </c>
      <c r="G220" s="44">
        <v>686352</v>
      </c>
      <c r="H220" s="28">
        <v>618335.13513513503</v>
      </c>
      <c r="I220" s="19" t="s">
        <v>654</v>
      </c>
      <c r="J220" s="19" t="s">
        <v>655</v>
      </c>
      <c r="K220" s="32" t="s">
        <v>1077</v>
      </c>
      <c r="L220" s="22"/>
      <c r="M220" s="22"/>
      <c r="N220" s="22"/>
      <c r="O220" s="20" t="s">
        <v>15</v>
      </c>
      <c r="P220" s="25" t="s">
        <v>16</v>
      </c>
      <c r="Q220" s="16">
        <v>2958465</v>
      </c>
    </row>
    <row r="221" spans="1:17">
      <c r="A221" s="11">
        <f t="shared" si="3"/>
        <v>220</v>
      </c>
      <c r="B221" s="11">
        <v>8010061298</v>
      </c>
      <c r="C221" s="25" t="s">
        <v>1112</v>
      </c>
      <c r="D221" s="27">
        <v>4813800</v>
      </c>
      <c r="E221" s="11">
        <v>0.48</v>
      </c>
      <c r="F221" s="11" t="s">
        <v>11</v>
      </c>
      <c r="G221" s="44">
        <v>2310624</v>
      </c>
      <c r="H221" s="28">
        <v>2081643.2432432431</v>
      </c>
      <c r="I221" s="19" t="s">
        <v>654</v>
      </c>
      <c r="J221" s="19" t="s">
        <v>655</v>
      </c>
      <c r="K221" s="32" t="s">
        <v>1077</v>
      </c>
      <c r="L221" s="22"/>
      <c r="M221" s="22"/>
      <c r="N221" s="22"/>
      <c r="O221" s="20" t="s">
        <v>15</v>
      </c>
      <c r="P221" s="25" t="s">
        <v>16</v>
      </c>
      <c r="Q221" s="16">
        <v>2958465</v>
      </c>
    </row>
    <row r="222" spans="1:17">
      <c r="A222" s="11">
        <f t="shared" si="3"/>
        <v>221</v>
      </c>
      <c r="B222" s="11">
        <v>8010061300</v>
      </c>
      <c r="C222" s="25" t="s">
        <v>1082</v>
      </c>
      <c r="D222" s="27">
        <v>45600</v>
      </c>
      <c r="E222" s="11">
        <v>0.48</v>
      </c>
      <c r="F222" s="11" t="s">
        <v>11</v>
      </c>
      <c r="G222" s="44">
        <v>21888</v>
      </c>
      <c r="H222" s="28">
        <v>19718.918918918916</v>
      </c>
      <c r="I222" s="19" t="s">
        <v>654</v>
      </c>
      <c r="J222" s="19" t="s">
        <v>655</v>
      </c>
      <c r="K222" s="32" t="s">
        <v>1077</v>
      </c>
      <c r="L222" s="22"/>
      <c r="M222" s="22"/>
      <c r="N222" s="22"/>
      <c r="O222" s="20" t="s">
        <v>15</v>
      </c>
      <c r="P222" s="25" t="s">
        <v>16</v>
      </c>
      <c r="Q222" s="16">
        <v>2958465</v>
      </c>
    </row>
    <row r="223" spans="1:17">
      <c r="A223" s="11">
        <f t="shared" si="3"/>
        <v>222</v>
      </c>
      <c r="B223" s="11">
        <v>8010061301</v>
      </c>
      <c r="C223" s="25" t="s">
        <v>1083</v>
      </c>
      <c r="D223" s="27">
        <v>71900</v>
      </c>
      <c r="E223" s="11">
        <v>0.48</v>
      </c>
      <c r="F223" s="11" t="s">
        <v>11</v>
      </c>
      <c r="G223" s="44">
        <v>34512</v>
      </c>
      <c r="H223" s="28">
        <v>31091.89189189189</v>
      </c>
      <c r="I223" s="19" t="s">
        <v>654</v>
      </c>
      <c r="J223" s="19" t="s">
        <v>655</v>
      </c>
      <c r="K223" s="32" t="s">
        <v>1077</v>
      </c>
      <c r="L223" s="22"/>
      <c r="M223" s="22"/>
      <c r="N223" s="22"/>
      <c r="O223" s="20" t="s">
        <v>15</v>
      </c>
      <c r="P223" s="25" t="s">
        <v>16</v>
      </c>
      <c r="Q223" s="16">
        <v>2958465</v>
      </c>
    </row>
    <row r="224" spans="1:17" ht="13.8">
      <c r="A224" s="11">
        <f t="shared" si="3"/>
        <v>223</v>
      </c>
      <c r="B224" s="11">
        <v>8010061302</v>
      </c>
      <c r="C224" s="25" t="s">
        <v>1084</v>
      </c>
      <c r="D224" s="27">
        <v>115400</v>
      </c>
      <c r="E224" s="11">
        <v>0.48</v>
      </c>
      <c r="F224" s="11" t="s">
        <v>11</v>
      </c>
      <c r="G224" s="44">
        <v>55392</v>
      </c>
      <c r="H224" s="28">
        <v>49902.7027027027</v>
      </c>
      <c r="I224" s="19" t="s">
        <v>654</v>
      </c>
      <c r="J224" s="19" t="s">
        <v>655</v>
      </c>
      <c r="K224" s="32" t="s">
        <v>1077</v>
      </c>
      <c r="L224" s="22"/>
      <c r="M224" s="22"/>
      <c r="N224" s="22"/>
      <c r="O224" s="20" t="s">
        <v>15</v>
      </c>
      <c r="P224" s="25" t="s">
        <v>16</v>
      </c>
      <c r="Q224" s="16">
        <v>2958465</v>
      </c>
    </row>
    <row r="225" spans="1:17">
      <c r="A225" s="11">
        <f t="shared" si="3"/>
        <v>224</v>
      </c>
      <c r="B225" s="11">
        <v>8010061303</v>
      </c>
      <c r="C225" s="25" t="s">
        <v>1085</v>
      </c>
      <c r="D225" s="27">
        <v>184000</v>
      </c>
      <c r="E225" s="11">
        <v>0.48</v>
      </c>
      <c r="F225" s="11" t="s">
        <v>11</v>
      </c>
      <c r="G225" s="44">
        <v>88320</v>
      </c>
      <c r="H225" s="28">
        <v>79567.567567567559</v>
      </c>
      <c r="I225" s="19" t="s">
        <v>654</v>
      </c>
      <c r="J225" s="19" t="s">
        <v>655</v>
      </c>
      <c r="K225" s="32" t="s">
        <v>1077</v>
      </c>
      <c r="L225" s="22"/>
      <c r="M225" s="22"/>
      <c r="N225" s="22"/>
      <c r="O225" s="20" t="s">
        <v>15</v>
      </c>
      <c r="P225" s="25" t="s">
        <v>16</v>
      </c>
      <c r="Q225" s="16">
        <v>2958465</v>
      </c>
    </row>
    <row r="226" spans="1:17">
      <c r="A226" s="11">
        <f t="shared" si="3"/>
        <v>225</v>
      </c>
      <c r="B226" s="11">
        <v>8010061304</v>
      </c>
      <c r="C226" s="25" t="s">
        <v>1086</v>
      </c>
      <c r="D226" s="27">
        <v>287000</v>
      </c>
      <c r="E226" s="11">
        <v>0.48</v>
      </c>
      <c r="F226" s="11" t="s">
        <v>11</v>
      </c>
      <c r="G226" s="44">
        <v>137760</v>
      </c>
      <c r="H226" s="28">
        <v>124108.10810810809</v>
      </c>
      <c r="I226" s="19" t="s">
        <v>654</v>
      </c>
      <c r="J226" s="19" t="s">
        <v>655</v>
      </c>
      <c r="K226" s="32" t="s">
        <v>1077</v>
      </c>
      <c r="L226" s="22"/>
      <c r="M226" s="22"/>
      <c r="N226" s="22"/>
      <c r="O226" s="20" t="s">
        <v>15</v>
      </c>
      <c r="P226" s="25" t="s">
        <v>16</v>
      </c>
      <c r="Q226" s="16">
        <v>2958465</v>
      </c>
    </row>
    <row r="227" spans="1:17">
      <c r="A227" s="11">
        <f t="shared" si="3"/>
        <v>226</v>
      </c>
      <c r="B227" s="11">
        <v>8010061305</v>
      </c>
      <c r="C227" s="25" t="s">
        <v>1087</v>
      </c>
      <c r="D227" s="27">
        <v>451300</v>
      </c>
      <c r="E227" s="11">
        <v>0.48</v>
      </c>
      <c r="F227" s="11" t="s">
        <v>11</v>
      </c>
      <c r="G227" s="44">
        <v>216624</v>
      </c>
      <c r="H227" s="28">
        <v>195156.75675675675</v>
      </c>
      <c r="I227" s="19" t="s">
        <v>654</v>
      </c>
      <c r="J227" s="19" t="s">
        <v>655</v>
      </c>
      <c r="K227" s="32" t="s">
        <v>1077</v>
      </c>
      <c r="L227" s="22"/>
      <c r="M227" s="22"/>
      <c r="N227" s="22"/>
      <c r="O227" s="20" t="s">
        <v>15</v>
      </c>
      <c r="P227" s="25" t="s">
        <v>16</v>
      </c>
      <c r="Q227" s="16">
        <v>2958465</v>
      </c>
    </row>
    <row r="228" spans="1:17">
      <c r="A228" s="11">
        <f t="shared" si="3"/>
        <v>227</v>
      </c>
      <c r="B228" s="11">
        <v>8010061306</v>
      </c>
      <c r="C228" s="25" t="s">
        <v>1088</v>
      </c>
      <c r="D228" s="27">
        <v>642600</v>
      </c>
      <c r="E228" s="11">
        <v>0.48</v>
      </c>
      <c r="F228" s="11" t="s">
        <v>11</v>
      </c>
      <c r="G228" s="44">
        <v>308448</v>
      </c>
      <c r="H228" s="28">
        <v>277881.08108108107</v>
      </c>
      <c r="I228" s="19" t="s">
        <v>654</v>
      </c>
      <c r="J228" s="19" t="s">
        <v>655</v>
      </c>
      <c r="K228" s="32" t="s">
        <v>1077</v>
      </c>
      <c r="L228" s="22"/>
      <c r="M228" s="22"/>
      <c r="N228" s="22"/>
      <c r="O228" s="20" t="s">
        <v>15</v>
      </c>
      <c r="P228" s="25" t="s">
        <v>16</v>
      </c>
      <c r="Q228" s="16">
        <v>2958465</v>
      </c>
    </row>
    <row r="229" spans="1:17">
      <c r="A229" s="11">
        <f t="shared" si="3"/>
        <v>228</v>
      </c>
      <c r="B229" s="11">
        <v>8010061307</v>
      </c>
      <c r="C229" s="25" t="s">
        <v>1089</v>
      </c>
      <c r="D229" s="27">
        <v>954600</v>
      </c>
      <c r="E229" s="11">
        <v>0.48</v>
      </c>
      <c r="F229" s="11" t="s">
        <v>11</v>
      </c>
      <c r="G229" s="44">
        <v>458208</v>
      </c>
      <c r="H229" s="28">
        <v>412799.99999999994</v>
      </c>
      <c r="I229" s="19" t="s">
        <v>654</v>
      </c>
      <c r="J229" s="19" t="s">
        <v>655</v>
      </c>
      <c r="K229" s="32" t="s">
        <v>1077</v>
      </c>
      <c r="L229" s="22"/>
      <c r="M229" s="22"/>
      <c r="N229" s="22"/>
      <c r="O229" s="20" t="s">
        <v>15</v>
      </c>
      <c r="P229" s="25" t="s">
        <v>16</v>
      </c>
      <c r="Q229" s="16">
        <v>2958465</v>
      </c>
    </row>
    <row r="230" spans="1:17">
      <c r="A230" s="11">
        <f t="shared" si="3"/>
        <v>229</v>
      </c>
      <c r="B230" s="11">
        <v>8010062126</v>
      </c>
      <c r="C230" s="25" t="s">
        <v>1113</v>
      </c>
      <c r="D230" s="27">
        <v>54230</v>
      </c>
      <c r="E230" s="11">
        <v>0.48</v>
      </c>
      <c r="F230" s="11" t="s">
        <v>11</v>
      </c>
      <c r="G230" s="44">
        <v>26030</v>
      </c>
      <c r="H230" s="28">
        <v>23450.450450450448</v>
      </c>
      <c r="I230" s="19" t="s">
        <v>654</v>
      </c>
      <c r="J230" s="19" t="s">
        <v>655</v>
      </c>
      <c r="K230" s="32" t="s">
        <v>1077</v>
      </c>
      <c r="L230" s="22"/>
      <c r="M230" s="22"/>
      <c r="N230" s="22"/>
      <c r="O230" s="20" t="s">
        <v>15</v>
      </c>
      <c r="P230" s="25" t="s">
        <v>16</v>
      </c>
      <c r="Q230" s="16">
        <v>2958465</v>
      </c>
    </row>
    <row r="231" spans="1:17">
      <c r="A231" s="11">
        <f t="shared" si="3"/>
        <v>230</v>
      </c>
      <c r="B231" s="11">
        <v>8010062127</v>
      </c>
      <c r="C231" s="25" t="s">
        <v>1114</v>
      </c>
      <c r="D231" s="27">
        <v>71050</v>
      </c>
      <c r="E231" s="11">
        <v>0.48</v>
      </c>
      <c r="F231" s="11" t="s">
        <v>11</v>
      </c>
      <c r="G231" s="44">
        <v>34104</v>
      </c>
      <c r="H231" s="28">
        <v>30724.324324324323</v>
      </c>
      <c r="I231" s="19" t="s">
        <v>654</v>
      </c>
      <c r="J231" s="19" t="s">
        <v>655</v>
      </c>
      <c r="K231" s="32" t="s">
        <v>1077</v>
      </c>
      <c r="L231" s="22"/>
      <c r="M231" s="22"/>
      <c r="N231" s="22"/>
      <c r="O231" s="20" t="s">
        <v>15</v>
      </c>
      <c r="P231" s="25" t="s">
        <v>16</v>
      </c>
      <c r="Q231" s="16">
        <v>2958465</v>
      </c>
    </row>
    <row r="232" spans="1:17">
      <c r="A232" s="11">
        <f t="shared" si="3"/>
        <v>231</v>
      </c>
      <c r="B232" s="11">
        <v>8010062128</v>
      </c>
      <c r="C232" s="25" t="s">
        <v>1115</v>
      </c>
      <c r="D232" s="27">
        <v>113970</v>
      </c>
      <c r="E232" s="11">
        <v>0.48</v>
      </c>
      <c r="F232" s="11" t="s">
        <v>11</v>
      </c>
      <c r="G232" s="44">
        <v>54706</v>
      </c>
      <c r="H232" s="28">
        <v>49284.684684684682</v>
      </c>
      <c r="I232" s="19" t="s">
        <v>654</v>
      </c>
      <c r="J232" s="19" t="s">
        <v>655</v>
      </c>
      <c r="K232" s="32" t="s">
        <v>1077</v>
      </c>
      <c r="L232" s="22"/>
      <c r="M232" s="22"/>
      <c r="N232" s="22"/>
      <c r="O232" s="20" t="s">
        <v>15</v>
      </c>
      <c r="P232" s="25" t="s">
        <v>16</v>
      </c>
      <c r="Q232" s="16">
        <v>2958465</v>
      </c>
    </row>
    <row r="233" spans="1:17">
      <c r="A233" s="11">
        <f t="shared" si="3"/>
        <v>232</v>
      </c>
      <c r="B233" s="11">
        <v>8010062129</v>
      </c>
      <c r="C233" s="25" t="s">
        <v>1116</v>
      </c>
      <c r="D233" s="27">
        <v>185310</v>
      </c>
      <c r="E233" s="11">
        <v>0.48</v>
      </c>
      <c r="F233" s="11" t="s">
        <v>11</v>
      </c>
      <c r="G233" s="44">
        <v>88949</v>
      </c>
      <c r="H233" s="28">
        <v>80134.234234234231</v>
      </c>
      <c r="I233" s="19" t="s">
        <v>654</v>
      </c>
      <c r="J233" s="19" t="s">
        <v>655</v>
      </c>
      <c r="K233" s="32" t="s">
        <v>1077</v>
      </c>
      <c r="L233" s="22"/>
      <c r="M233" s="22"/>
      <c r="N233" s="22"/>
      <c r="O233" s="20" t="s">
        <v>15</v>
      </c>
      <c r="P233" s="25" t="s">
        <v>16</v>
      </c>
      <c r="Q233" s="16">
        <v>2958465</v>
      </c>
    </row>
    <row r="234" spans="1:17">
      <c r="A234" s="11">
        <f t="shared" si="3"/>
        <v>233</v>
      </c>
      <c r="B234" s="11">
        <v>8010062130</v>
      </c>
      <c r="C234" s="25" t="s">
        <v>1117</v>
      </c>
      <c r="D234" s="27">
        <v>287100</v>
      </c>
      <c r="E234" s="11">
        <v>0.48</v>
      </c>
      <c r="F234" s="11" t="s">
        <v>11</v>
      </c>
      <c r="G234" s="44">
        <v>137808</v>
      </c>
      <c r="H234" s="28">
        <v>124151.35135135135</v>
      </c>
      <c r="I234" s="19" t="s">
        <v>654</v>
      </c>
      <c r="J234" s="19" t="s">
        <v>655</v>
      </c>
      <c r="K234" s="32" t="s">
        <v>1077</v>
      </c>
      <c r="L234" s="22"/>
      <c r="M234" s="22"/>
      <c r="N234" s="22"/>
      <c r="O234" s="20" t="s">
        <v>15</v>
      </c>
      <c r="P234" s="25" t="s">
        <v>16</v>
      </c>
      <c r="Q234" s="16">
        <v>2958465</v>
      </c>
    </row>
    <row r="235" spans="1:17">
      <c r="A235" s="11">
        <f t="shared" si="3"/>
        <v>234</v>
      </c>
      <c r="B235" s="11">
        <v>8010062131</v>
      </c>
      <c r="C235" s="25" t="s">
        <v>1118</v>
      </c>
      <c r="D235" s="27">
        <v>454430</v>
      </c>
      <c r="E235" s="11">
        <v>0.48</v>
      </c>
      <c r="F235" s="11" t="s">
        <v>11</v>
      </c>
      <c r="G235" s="44">
        <v>218126</v>
      </c>
      <c r="H235" s="28">
        <v>196509.90990990988</v>
      </c>
      <c r="I235" s="19" t="s">
        <v>654</v>
      </c>
      <c r="J235" s="19" t="s">
        <v>655</v>
      </c>
      <c r="K235" s="32" t="s">
        <v>1077</v>
      </c>
      <c r="L235" s="22"/>
      <c r="M235" s="22"/>
      <c r="N235" s="22"/>
      <c r="O235" s="20" t="s">
        <v>15</v>
      </c>
      <c r="P235" s="25" t="s">
        <v>16</v>
      </c>
      <c r="Q235" s="16">
        <v>2958465</v>
      </c>
    </row>
    <row r="236" spans="1:17">
      <c r="A236" s="11">
        <f t="shared" si="3"/>
        <v>235</v>
      </c>
      <c r="B236" s="11">
        <v>8010062132</v>
      </c>
      <c r="C236" s="25" t="s">
        <v>1119</v>
      </c>
      <c r="D236" s="27">
        <v>635970</v>
      </c>
      <c r="E236" s="11">
        <v>0.48</v>
      </c>
      <c r="F236" s="11" t="s">
        <v>11</v>
      </c>
      <c r="G236" s="44">
        <v>305266</v>
      </c>
      <c r="H236" s="28">
        <v>275014.41441441438</v>
      </c>
      <c r="I236" s="19" t="s">
        <v>654</v>
      </c>
      <c r="J236" s="19" t="s">
        <v>655</v>
      </c>
      <c r="K236" s="32" t="s">
        <v>1077</v>
      </c>
      <c r="L236" s="22"/>
      <c r="M236" s="22"/>
      <c r="N236" s="22"/>
      <c r="O236" s="20" t="s">
        <v>15</v>
      </c>
      <c r="P236" s="25" t="s">
        <v>16</v>
      </c>
      <c r="Q236" s="16">
        <v>2958465</v>
      </c>
    </row>
    <row r="237" spans="1:17">
      <c r="A237" s="11">
        <f t="shared" si="3"/>
        <v>236</v>
      </c>
      <c r="B237" s="11">
        <v>8010062133</v>
      </c>
      <c r="C237" s="25" t="s">
        <v>1120</v>
      </c>
      <c r="D237" s="27">
        <v>951200</v>
      </c>
      <c r="E237" s="11">
        <v>0.48</v>
      </c>
      <c r="F237" s="11" t="s">
        <v>11</v>
      </c>
      <c r="G237" s="44">
        <v>456576</v>
      </c>
      <c r="H237" s="28">
        <v>411329.7297297297</v>
      </c>
      <c r="I237" s="19" t="s">
        <v>654</v>
      </c>
      <c r="J237" s="19" t="s">
        <v>655</v>
      </c>
      <c r="K237" s="32" t="s">
        <v>1077</v>
      </c>
      <c r="L237" s="22"/>
      <c r="M237" s="22"/>
      <c r="N237" s="22"/>
      <c r="O237" s="20" t="s">
        <v>15</v>
      </c>
      <c r="P237" s="25" t="s">
        <v>16</v>
      </c>
      <c r="Q237" s="16">
        <v>2958465</v>
      </c>
    </row>
    <row r="238" spans="1:17">
      <c r="A238" s="11">
        <f t="shared" si="3"/>
        <v>237</v>
      </c>
      <c r="B238" s="11">
        <v>8010062134</v>
      </c>
      <c r="C238" s="25" t="s">
        <v>1121</v>
      </c>
      <c r="D238" s="27">
        <v>1412590</v>
      </c>
      <c r="E238" s="11">
        <v>0.48</v>
      </c>
      <c r="F238" s="11" t="s">
        <v>11</v>
      </c>
      <c r="G238" s="44">
        <v>678043</v>
      </c>
      <c r="H238" s="28">
        <v>610849.54954954947</v>
      </c>
      <c r="I238" s="19" t="s">
        <v>654</v>
      </c>
      <c r="J238" s="19" t="s">
        <v>655</v>
      </c>
      <c r="K238" s="32" t="s">
        <v>1077</v>
      </c>
      <c r="L238" s="22"/>
      <c r="M238" s="22"/>
      <c r="N238" s="22"/>
      <c r="O238" s="20" t="s">
        <v>15</v>
      </c>
      <c r="P238" s="25" t="s">
        <v>16</v>
      </c>
      <c r="Q238" s="16">
        <v>2958465</v>
      </c>
    </row>
    <row r="239" spans="1:17">
      <c r="A239" s="11">
        <f t="shared" si="3"/>
        <v>238</v>
      </c>
      <c r="B239" s="11">
        <v>8010062135</v>
      </c>
      <c r="C239" s="25" t="s">
        <v>1122</v>
      </c>
      <c r="D239" s="27">
        <v>4813710</v>
      </c>
      <c r="E239" s="11">
        <v>0.48</v>
      </c>
      <c r="F239" s="11" t="s">
        <v>11</v>
      </c>
      <c r="G239" s="44">
        <v>2310581</v>
      </c>
      <c r="H239" s="28">
        <v>2081604.5045045044</v>
      </c>
      <c r="I239" s="19" t="s">
        <v>654</v>
      </c>
      <c r="J239" s="19" t="s">
        <v>655</v>
      </c>
      <c r="K239" s="32" t="s">
        <v>1077</v>
      </c>
      <c r="L239" s="22"/>
      <c r="M239" s="22"/>
      <c r="N239" s="22"/>
      <c r="O239" s="20" t="s">
        <v>15</v>
      </c>
      <c r="P239" s="25" t="s">
        <v>16</v>
      </c>
      <c r="Q239" s="16">
        <v>2958465</v>
      </c>
    </row>
    <row r="240" spans="1:17">
      <c r="A240" s="11">
        <f t="shared" si="3"/>
        <v>239</v>
      </c>
      <c r="B240" s="11">
        <v>8010062136</v>
      </c>
      <c r="C240" s="25" t="s">
        <v>1123</v>
      </c>
      <c r="D240" s="27">
        <v>66120</v>
      </c>
      <c r="E240" s="11">
        <v>0.48</v>
      </c>
      <c r="F240" s="11" t="s">
        <v>11</v>
      </c>
      <c r="G240" s="44">
        <v>31738</v>
      </c>
      <c r="H240" s="28">
        <v>28592.792792792789</v>
      </c>
      <c r="I240" s="19" t="s">
        <v>654</v>
      </c>
      <c r="J240" s="19" t="s">
        <v>655</v>
      </c>
      <c r="K240" s="32" t="s">
        <v>1077</v>
      </c>
      <c r="L240" s="22"/>
      <c r="M240" s="22"/>
      <c r="N240" s="22"/>
      <c r="O240" s="20" t="s">
        <v>15</v>
      </c>
      <c r="P240" s="25" t="s">
        <v>16</v>
      </c>
      <c r="Q240" s="16">
        <v>2958465</v>
      </c>
    </row>
    <row r="241" spans="1:17">
      <c r="A241" s="11">
        <f t="shared" si="3"/>
        <v>240</v>
      </c>
      <c r="B241" s="11">
        <v>8010062137</v>
      </c>
      <c r="C241" s="25" t="s">
        <v>1124</v>
      </c>
      <c r="D241" s="27">
        <v>104255</v>
      </c>
      <c r="E241" s="11">
        <v>0.48</v>
      </c>
      <c r="F241" s="11" t="s">
        <v>11</v>
      </c>
      <c r="G241" s="44">
        <v>50042</v>
      </c>
      <c r="H241" s="28">
        <v>45082.882882882877</v>
      </c>
      <c r="I241" s="19" t="s">
        <v>654</v>
      </c>
      <c r="J241" s="19" t="s">
        <v>655</v>
      </c>
      <c r="K241" s="32" t="s">
        <v>1077</v>
      </c>
      <c r="L241" s="22"/>
      <c r="M241" s="22"/>
      <c r="N241" s="22"/>
      <c r="O241" s="20" t="s">
        <v>15</v>
      </c>
      <c r="P241" s="25" t="s">
        <v>16</v>
      </c>
      <c r="Q241" s="16">
        <v>2958465</v>
      </c>
    </row>
    <row r="242" spans="1:17">
      <c r="A242" s="11">
        <f t="shared" si="3"/>
        <v>241</v>
      </c>
      <c r="B242" s="11">
        <v>8010062138</v>
      </c>
      <c r="C242" s="25" t="s">
        <v>1125</v>
      </c>
      <c r="D242" s="27">
        <v>167330</v>
      </c>
      <c r="E242" s="11">
        <v>0.48</v>
      </c>
      <c r="F242" s="11" t="s">
        <v>11</v>
      </c>
      <c r="G242" s="44">
        <v>80318</v>
      </c>
      <c r="H242" s="28">
        <v>72358.55855855855</v>
      </c>
      <c r="I242" s="19" t="s">
        <v>654</v>
      </c>
      <c r="J242" s="19" t="s">
        <v>655</v>
      </c>
      <c r="K242" s="32" t="s">
        <v>1077</v>
      </c>
      <c r="L242" s="22"/>
      <c r="M242" s="22"/>
      <c r="N242" s="22"/>
      <c r="O242" s="20" t="s">
        <v>15</v>
      </c>
      <c r="P242" s="25" t="s">
        <v>16</v>
      </c>
      <c r="Q242" s="16">
        <v>2958465</v>
      </c>
    </row>
    <row r="243" spans="1:17">
      <c r="A243" s="11">
        <f t="shared" si="3"/>
        <v>242</v>
      </c>
      <c r="B243" s="11">
        <v>8010062139</v>
      </c>
      <c r="C243" s="25" t="s">
        <v>1126</v>
      </c>
      <c r="D243" s="27">
        <v>266800</v>
      </c>
      <c r="E243" s="11">
        <v>0.48</v>
      </c>
      <c r="F243" s="11" t="s">
        <v>11</v>
      </c>
      <c r="G243" s="44">
        <v>128064</v>
      </c>
      <c r="H243" s="28">
        <v>115372.97297297296</v>
      </c>
      <c r="I243" s="19" t="s">
        <v>654</v>
      </c>
      <c r="J243" s="19" t="s">
        <v>655</v>
      </c>
      <c r="K243" s="32" t="s">
        <v>1077</v>
      </c>
      <c r="L243" s="22"/>
      <c r="M243" s="22"/>
      <c r="N243" s="22"/>
      <c r="O243" s="20" t="s">
        <v>15</v>
      </c>
      <c r="P243" s="25" t="s">
        <v>16</v>
      </c>
      <c r="Q243" s="16">
        <v>2958465</v>
      </c>
    </row>
    <row r="244" spans="1:17">
      <c r="A244" s="11">
        <f t="shared" si="3"/>
        <v>243</v>
      </c>
      <c r="B244" s="11">
        <v>8010062140</v>
      </c>
      <c r="C244" s="25" t="s">
        <v>1127</v>
      </c>
      <c r="D244" s="27">
        <v>416150</v>
      </c>
      <c r="E244" s="11">
        <v>0.48</v>
      </c>
      <c r="F244" s="11" t="s">
        <v>11</v>
      </c>
      <c r="G244" s="44">
        <v>199752</v>
      </c>
      <c r="H244" s="28">
        <v>179956.75675675675</v>
      </c>
      <c r="I244" s="19" t="s">
        <v>654</v>
      </c>
      <c r="J244" s="19" t="s">
        <v>655</v>
      </c>
      <c r="K244" s="32" t="s">
        <v>1077</v>
      </c>
      <c r="L244" s="22"/>
      <c r="M244" s="22"/>
      <c r="N244" s="22"/>
      <c r="O244" s="20" t="s">
        <v>15</v>
      </c>
      <c r="P244" s="25" t="s">
        <v>16</v>
      </c>
      <c r="Q244" s="16">
        <v>2958465</v>
      </c>
    </row>
    <row r="245" spans="1:17">
      <c r="A245" s="11">
        <f t="shared" si="3"/>
        <v>244</v>
      </c>
      <c r="B245" s="11">
        <v>8010062141</v>
      </c>
      <c r="C245" s="25" t="s">
        <v>1128</v>
      </c>
      <c r="D245" s="27">
        <v>654385</v>
      </c>
      <c r="E245" s="11">
        <v>0.48</v>
      </c>
      <c r="F245" s="11" t="s">
        <v>11</v>
      </c>
      <c r="G245" s="44">
        <v>314105</v>
      </c>
      <c r="H245" s="28">
        <v>282977.47747747746</v>
      </c>
      <c r="I245" s="19" t="s">
        <v>654</v>
      </c>
      <c r="J245" s="19" t="s">
        <v>655</v>
      </c>
      <c r="K245" s="32" t="s">
        <v>1077</v>
      </c>
      <c r="L245" s="22"/>
      <c r="M245" s="22"/>
      <c r="N245" s="22"/>
      <c r="O245" s="20" t="s">
        <v>15</v>
      </c>
      <c r="P245" s="25" t="s">
        <v>16</v>
      </c>
      <c r="Q245" s="16">
        <v>2958465</v>
      </c>
    </row>
    <row r="246" spans="1:17">
      <c r="A246" s="11">
        <f t="shared" si="3"/>
        <v>245</v>
      </c>
      <c r="B246" s="11">
        <v>8010062142</v>
      </c>
      <c r="C246" s="25" t="s">
        <v>1129</v>
      </c>
      <c r="D246" s="27">
        <v>931770</v>
      </c>
      <c r="E246" s="11">
        <v>0.48</v>
      </c>
      <c r="F246" s="11" t="s">
        <v>11</v>
      </c>
      <c r="G246" s="44">
        <v>447250</v>
      </c>
      <c r="H246" s="28">
        <v>402927.92792792787</v>
      </c>
      <c r="I246" s="19" t="s">
        <v>654</v>
      </c>
      <c r="J246" s="19" t="s">
        <v>655</v>
      </c>
      <c r="K246" s="32" t="s">
        <v>1077</v>
      </c>
      <c r="L246" s="22"/>
      <c r="M246" s="22"/>
      <c r="N246" s="22"/>
      <c r="O246" s="20" t="s">
        <v>15</v>
      </c>
      <c r="P246" s="25" t="s">
        <v>16</v>
      </c>
      <c r="Q246" s="16">
        <v>2958465</v>
      </c>
    </row>
    <row r="247" spans="1:17">
      <c r="A247" s="11">
        <f t="shared" si="3"/>
        <v>246</v>
      </c>
      <c r="B247" s="11">
        <v>8010062143</v>
      </c>
      <c r="C247" s="25" t="s">
        <v>1130</v>
      </c>
      <c r="D247" s="27">
        <v>1384170</v>
      </c>
      <c r="E247" s="11">
        <v>0.48</v>
      </c>
      <c r="F247" s="11" t="s">
        <v>11</v>
      </c>
      <c r="G247" s="44">
        <v>664402</v>
      </c>
      <c r="H247" s="28">
        <v>598560.36036036036</v>
      </c>
      <c r="I247" s="19" t="s">
        <v>654</v>
      </c>
      <c r="J247" s="19" t="s">
        <v>655</v>
      </c>
      <c r="K247" s="32" t="s">
        <v>1077</v>
      </c>
      <c r="L247" s="22"/>
      <c r="M247" s="22"/>
      <c r="N247" s="22"/>
      <c r="O247" s="20" t="s">
        <v>15</v>
      </c>
      <c r="P247" s="25" t="s">
        <v>16</v>
      </c>
      <c r="Q247" s="16">
        <v>2958465</v>
      </c>
    </row>
    <row r="248" spans="1:17">
      <c r="A248" s="11">
        <f t="shared" si="3"/>
        <v>247</v>
      </c>
      <c r="B248" s="11">
        <v>8010062144</v>
      </c>
      <c r="C248" s="25" t="s">
        <v>1131</v>
      </c>
      <c r="D248" s="27">
        <v>2073355</v>
      </c>
      <c r="E248" s="11">
        <v>0.48</v>
      </c>
      <c r="F248" s="11" t="s">
        <v>11</v>
      </c>
      <c r="G248" s="44">
        <v>995210</v>
      </c>
      <c r="H248" s="28">
        <v>896585.58558558556</v>
      </c>
      <c r="I248" s="19" t="s">
        <v>654</v>
      </c>
      <c r="J248" s="19" t="s">
        <v>655</v>
      </c>
      <c r="K248" s="32" t="s">
        <v>1077</v>
      </c>
      <c r="L248" s="22"/>
      <c r="M248" s="22"/>
      <c r="N248" s="22"/>
      <c r="O248" s="20" t="s">
        <v>15</v>
      </c>
      <c r="P248" s="25" t="s">
        <v>16</v>
      </c>
      <c r="Q248" s="16">
        <v>2958465</v>
      </c>
    </row>
    <row r="249" spans="1:17">
      <c r="A249" s="11">
        <f t="shared" si="3"/>
        <v>248</v>
      </c>
      <c r="B249" s="11">
        <v>8010062145</v>
      </c>
      <c r="C249" s="25" t="s">
        <v>1132</v>
      </c>
      <c r="D249" s="27">
        <v>6980010</v>
      </c>
      <c r="E249" s="11">
        <v>0.48</v>
      </c>
      <c r="F249" s="11" t="s">
        <v>11</v>
      </c>
      <c r="G249" s="44">
        <v>3350405</v>
      </c>
      <c r="H249" s="28">
        <v>3018382.8828828828</v>
      </c>
      <c r="I249" s="19" t="s">
        <v>654</v>
      </c>
      <c r="J249" s="19" t="s">
        <v>655</v>
      </c>
      <c r="K249" s="32" t="s">
        <v>1077</v>
      </c>
      <c r="L249" s="22"/>
      <c r="M249" s="22"/>
      <c r="N249" s="22"/>
      <c r="O249" s="20" t="s">
        <v>15</v>
      </c>
      <c r="P249" s="25" t="s">
        <v>16</v>
      </c>
      <c r="Q249" s="16">
        <v>2958465</v>
      </c>
    </row>
    <row r="250" spans="1:17">
      <c r="A250" s="11">
        <f t="shared" si="3"/>
        <v>249</v>
      </c>
      <c r="B250" s="11">
        <v>8010062146</v>
      </c>
      <c r="C250" s="25" t="s">
        <v>1133</v>
      </c>
      <c r="D250" s="27">
        <v>75255</v>
      </c>
      <c r="E250" s="11">
        <v>0.48</v>
      </c>
      <c r="F250" s="11" t="s">
        <v>11</v>
      </c>
      <c r="G250" s="44">
        <v>36122</v>
      </c>
      <c r="H250" s="28">
        <v>32542.342342342341</v>
      </c>
      <c r="I250" s="19" t="s">
        <v>654</v>
      </c>
      <c r="J250" s="19" t="s">
        <v>655</v>
      </c>
      <c r="K250" s="32" t="s">
        <v>1077</v>
      </c>
      <c r="L250" s="22"/>
      <c r="M250" s="22"/>
      <c r="N250" s="22"/>
      <c r="O250" s="20" t="s">
        <v>15</v>
      </c>
      <c r="P250" s="25" t="s">
        <v>16</v>
      </c>
      <c r="Q250" s="16">
        <v>2958465</v>
      </c>
    </row>
    <row r="251" spans="1:17">
      <c r="A251" s="11">
        <f t="shared" si="3"/>
        <v>250</v>
      </c>
      <c r="B251" s="11">
        <v>8010062147</v>
      </c>
      <c r="C251" s="25" t="s">
        <v>1134</v>
      </c>
      <c r="D251" s="27">
        <v>115420</v>
      </c>
      <c r="E251" s="11">
        <v>0.48</v>
      </c>
      <c r="F251" s="11" t="s">
        <v>11</v>
      </c>
      <c r="G251" s="44">
        <v>55402</v>
      </c>
      <c r="H251" s="28">
        <v>49911.711711711709</v>
      </c>
      <c r="I251" s="19" t="s">
        <v>654</v>
      </c>
      <c r="J251" s="19" t="s">
        <v>655</v>
      </c>
      <c r="K251" s="32" t="s">
        <v>1077</v>
      </c>
      <c r="L251" s="22"/>
      <c r="M251" s="22"/>
      <c r="N251" s="22"/>
      <c r="O251" s="20" t="s">
        <v>15</v>
      </c>
      <c r="P251" s="25" t="s">
        <v>16</v>
      </c>
      <c r="Q251" s="16">
        <v>2958465</v>
      </c>
    </row>
    <row r="252" spans="1:17">
      <c r="A252" s="11">
        <f t="shared" si="3"/>
        <v>251</v>
      </c>
      <c r="B252" s="11">
        <v>8010062148</v>
      </c>
      <c r="C252" s="25" t="s">
        <v>1135</v>
      </c>
      <c r="D252" s="27">
        <v>189515</v>
      </c>
      <c r="E252" s="11">
        <v>0.48</v>
      </c>
      <c r="F252" s="11" t="s">
        <v>11</v>
      </c>
      <c r="G252" s="44">
        <v>90967</v>
      </c>
      <c r="H252" s="28">
        <v>81952.252252252249</v>
      </c>
      <c r="I252" s="19" t="s">
        <v>654</v>
      </c>
      <c r="J252" s="19" t="s">
        <v>655</v>
      </c>
      <c r="K252" s="32" t="s">
        <v>1077</v>
      </c>
      <c r="L252" s="22"/>
      <c r="M252" s="22"/>
      <c r="N252" s="22"/>
      <c r="O252" s="20" t="s">
        <v>15</v>
      </c>
      <c r="P252" s="25" t="s">
        <v>16</v>
      </c>
      <c r="Q252" s="16">
        <v>2958465</v>
      </c>
    </row>
    <row r="253" spans="1:17">
      <c r="A253" s="11">
        <f t="shared" si="3"/>
        <v>252</v>
      </c>
      <c r="B253" s="11">
        <v>8010062149</v>
      </c>
      <c r="C253" s="25" t="s">
        <v>1136</v>
      </c>
      <c r="D253" s="27">
        <v>299425</v>
      </c>
      <c r="E253" s="11">
        <v>0.48</v>
      </c>
      <c r="F253" s="11" t="s">
        <v>11</v>
      </c>
      <c r="G253" s="44">
        <v>143724</v>
      </c>
      <c r="H253" s="28">
        <v>129481.08108108107</v>
      </c>
      <c r="I253" s="19" t="s">
        <v>654</v>
      </c>
      <c r="J253" s="19" t="s">
        <v>655</v>
      </c>
      <c r="K253" s="32" t="s">
        <v>1077</v>
      </c>
      <c r="L253" s="22"/>
      <c r="M253" s="22"/>
      <c r="N253" s="22"/>
      <c r="O253" s="20" t="s">
        <v>15</v>
      </c>
      <c r="P253" s="25" t="s">
        <v>16</v>
      </c>
      <c r="Q253" s="16">
        <v>2958465</v>
      </c>
    </row>
    <row r="254" spans="1:17">
      <c r="A254" s="11">
        <f t="shared" si="3"/>
        <v>253</v>
      </c>
      <c r="B254" s="11">
        <v>8010062150</v>
      </c>
      <c r="C254" s="25" t="s">
        <v>1137</v>
      </c>
      <c r="D254" s="27">
        <v>467915</v>
      </c>
      <c r="E254" s="11">
        <v>0.48</v>
      </c>
      <c r="F254" s="11" t="s">
        <v>11</v>
      </c>
      <c r="G254" s="44">
        <v>224599</v>
      </c>
      <c r="H254" s="28">
        <v>202341.44144144142</v>
      </c>
      <c r="I254" s="19" t="s">
        <v>654</v>
      </c>
      <c r="J254" s="19" t="s">
        <v>655</v>
      </c>
      <c r="K254" s="32" t="s">
        <v>1077</v>
      </c>
      <c r="L254" s="22"/>
      <c r="M254" s="22"/>
      <c r="N254" s="22"/>
      <c r="O254" s="20" t="s">
        <v>15</v>
      </c>
      <c r="P254" s="25" t="s">
        <v>16</v>
      </c>
      <c r="Q254" s="16">
        <v>2958465</v>
      </c>
    </row>
    <row r="255" spans="1:17">
      <c r="A255" s="11">
        <f t="shared" si="3"/>
        <v>254</v>
      </c>
      <c r="B255" s="11">
        <v>8010062151</v>
      </c>
      <c r="C255" s="25" t="s">
        <v>1138</v>
      </c>
      <c r="D255" s="27">
        <v>741240</v>
      </c>
      <c r="E255" s="11">
        <v>0.48</v>
      </c>
      <c r="F255" s="11" t="s">
        <v>11</v>
      </c>
      <c r="G255" s="44">
        <v>355795</v>
      </c>
      <c r="H255" s="28">
        <v>320536.03603603604</v>
      </c>
      <c r="I255" s="19" t="s">
        <v>654</v>
      </c>
      <c r="J255" s="19" t="s">
        <v>655</v>
      </c>
      <c r="K255" s="32" t="s">
        <v>1077</v>
      </c>
      <c r="L255" s="22"/>
      <c r="M255" s="22"/>
      <c r="N255" s="22"/>
      <c r="O255" s="20" t="s">
        <v>15</v>
      </c>
      <c r="P255" s="25" t="s">
        <v>16</v>
      </c>
      <c r="Q255" s="16">
        <v>2958465</v>
      </c>
    </row>
    <row r="256" spans="1:17">
      <c r="A256" s="11">
        <f t="shared" si="3"/>
        <v>255</v>
      </c>
      <c r="B256" s="11">
        <v>8010062152</v>
      </c>
      <c r="C256" s="25" t="s">
        <v>1139</v>
      </c>
      <c r="D256" s="27">
        <v>1049365</v>
      </c>
      <c r="E256" s="11">
        <v>0.48</v>
      </c>
      <c r="F256" s="11" t="s">
        <v>11</v>
      </c>
      <c r="G256" s="44">
        <v>503695</v>
      </c>
      <c r="H256" s="28">
        <v>453779.27927927923</v>
      </c>
      <c r="I256" s="19" t="s">
        <v>654</v>
      </c>
      <c r="J256" s="19" t="s">
        <v>655</v>
      </c>
      <c r="K256" s="32" t="s">
        <v>1077</v>
      </c>
      <c r="L256" s="22"/>
      <c r="M256" s="22"/>
      <c r="N256" s="22"/>
      <c r="O256" s="20" t="s">
        <v>15</v>
      </c>
      <c r="P256" s="25" t="s">
        <v>16</v>
      </c>
      <c r="Q256" s="16">
        <v>2958465</v>
      </c>
    </row>
    <row r="257" spans="1:17">
      <c r="A257" s="11">
        <f t="shared" si="3"/>
        <v>256</v>
      </c>
      <c r="B257" s="11">
        <v>8010062153</v>
      </c>
      <c r="C257" s="25" t="s">
        <v>1140</v>
      </c>
      <c r="D257" s="27">
        <v>1563390</v>
      </c>
      <c r="E257" s="11">
        <v>0.48</v>
      </c>
      <c r="F257" s="11" t="s">
        <v>11</v>
      </c>
      <c r="G257" s="44">
        <v>750427</v>
      </c>
      <c r="H257" s="28">
        <v>676060.36036036036</v>
      </c>
      <c r="I257" s="19" t="s">
        <v>654</v>
      </c>
      <c r="J257" s="19" t="s">
        <v>655</v>
      </c>
      <c r="K257" s="32" t="s">
        <v>1077</v>
      </c>
      <c r="L257" s="22"/>
      <c r="M257" s="22"/>
      <c r="N257" s="22"/>
      <c r="O257" s="20" t="s">
        <v>15</v>
      </c>
      <c r="P257" s="25" t="s">
        <v>16</v>
      </c>
      <c r="Q257" s="16">
        <v>2958465</v>
      </c>
    </row>
    <row r="258" spans="1:17">
      <c r="A258" s="11">
        <f t="shared" si="3"/>
        <v>257</v>
      </c>
      <c r="B258" s="11">
        <v>8010062154</v>
      </c>
      <c r="C258" s="25" t="s">
        <v>1141</v>
      </c>
      <c r="D258" s="27">
        <v>2336240</v>
      </c>
      <c r="E258" s="11">
        <v>0.48</v>
      </c>
      <c r="F258" s="11" t="s">
        <v>11</v>
      </c>
      <c r="G258" s="44">
        <v>1121395</v>
      </c>
      <c r="H258" s="28">
        <v>1010265.7657657657</v>
      </c>
      <c r="I258" s="19" t="s">
        <v>654</v>
      </c>
      <c r="J258" s="19" t="s">
        <v>655</v>
      </c>
      <c r="K258" s="32" t="s">
        <v>1077</v>
      </c>
      <c r="L258" s="22"/>
      <c r="M258" s="22"/>
      <c r="N258" s="22"/>
      <c r="O258" s="20" t="s">
        <v>15</v>
      </c>
      <c r="P258" s="25" t="s">
        <v>16</v>
      </c>
      <c r="Q258" s="16">
        <v>2958465</v>
      </c>
    </row>
    <row r="259" spans="1:17">
      <c r="A259" s="11">
        <f t="shared" si="3"/>
        <v>258</v>
      </c>
      <c r="B259" s="11">
        <v>8010062155</v>
      </c>
      <c r="C259" s="25" t="s">
        <v>1142</v>
      </c>
      <c r="D259" s="27">
        <v>7961225</v>
      </c>
      <c r="E259" s="11">
        <v>0.48</v>
      </c>
      <c r="F259" s="11" t="s">
        <v>11</v>
      </c>
      <c r="G259" s="44">
        <v>3821388</v>
      </c>
      <c r="H259" s="28">
        <v>3442691.8918918916</v>
      </c>
      <c r="I259" s="19" t="s">
        <v>654</v>
      </c>
      <c r="J259" s="19" t="s">
        <v>655</v>
      </c>
      <c r="K259" s="32" t="s">
        <v>1077</v>
      </c>
      <c r="L259" s="22"/>
      <c r="M259" s="22"/>
      <c r="N259" s="22"/>
      <c r="O259" s="20" t="s">
        <v>15</v>
      </c>
      <c r="P259" s="25" t="s">
        <v>16</v>
      </c>
      <c r="Q259" s="16">
        <v>2958465</v>
      </c>
    </row>
    <row r="260" spans="1:17">
      <c r="A260" s="11">
        <f t="shared" si="3"/>
        <v>259</v>
      </c>
      <c r="B260" s="11">
        <v>8010062265</v>
      </c>
      <c r="C260" s="25" t="s">
        <v>1143</v>
      </c>
      <c r="D260" s="27">
        <v>37400</v>
      </c>
      <c r="E260" s="11">
        <v>0.48</v>
      </c>
      <c r="F260" s="11" t="s">
        <v>11</v>
      </c>
      <c r="G260" s="44">
        <v>17952</v>
      </c>
      <c r="H260" s="28">
        <v>16172.972972972972</v>
      </c>
      <c r="I260" s="19" t="s">
        <v>654</v>
      </c>
      <c r="J260" s="19" t="s">
        <v>655</v>
      </c>
      <c r="K260" s="32" t="s">
        <v>1077</v>
      </c>
      <c r="L260" s="22"/>
      <c r="M260" s="22"/>
      <c r="N260" s="22"/>
      <c r="O260" s="20" t="s">
        <v>15</v>
      </c>
      <c r="P260" s="25" t="s">
        <v>16</v>
      </c>
      <c r="Q260" s="16">
        <v>2958465</v>
      </c>
    </row>
    <row r="261" spans="1:17">
      <c r="A261" s="11">
        <f t="shared" ref="A261:A324" si="4">ROW()-1</f>
        <v>260</v>
      </c>
      <c r="B261" s="11">
        <v>8010062266</v>
      </c>
      <c r="C261" s="25" t="s">
        <v>1144</v>
      </c>
      <c r="D261" s="27">
        <v>49000</v>
      </c>
      <c r="E261" s="11">
        <v>0.48</v>
      </c>
      <c r="F261" s="11" t="s">
        <v>11</v>
      </c>
      <c r="G261" s="44">
        <v>23520</v>
      </c>
      <c r="H261" s="28">
        <v>21189.189189189186</v>
      </c>
      <c r="I261" s="19" t="s">
        <v>654</v>
      </c>
      <c r="J261" s="19" t="s">
        <v>655</v>
      </c>
      <c r="K261" s="32" t="s">
        <v>1077</v>
      </c>
      <c r="L261" s="22"/>
      <c r="M261" s="22"/>
      <c r="N261" s="22"/>
      <c r="O261" s="20" t="s">
        <v>15</v>
      </c>
      <c r="P261" s="25" t="s">
        <v>16</v>
      </c>
      <c r="Q261" s="16">
        <v>2958465</v>
      </c>
    </row>
    <row r="262" spans="1:17">
      <c r="A262" s="11">
        <f t="shared" si="4"/>
        <v>261</v>
      </c>
      <c r="B262" s="11">
        <v>8010062267</v>
      </c>
      <c r="C262" s="25" t="s">
        <v>1145</v>
      </c>
      <c r="D262" s="27">
        <v>78600</v>
      </c>
      <c r="E262" s="11">
        <v>0.48</v>
      </c>
      <c r="F262" s="11" t="s">
        <v>11</v>
      </c>
      <c r="G262" s="44">
        <v>37728</v>
      </c>
      <c r="H262" s="28">
        <v>33989.189189189186</v>
      </c>
      <c r="I262" s="19" t="s">
        <v>654</v>
      </c>
      <c r="J262" s="19" t="s">
        <v>655</v>
      </c>
      <c r="K262" s="32" t="s">
        <v>1077</v>
      </c>
      <c r="L262" s="22"/>
      <c r="M262" s="22"/>
      <c r="N262" s="22"/>
      <c r="O262" s="20" t="s">
        <v>15</v>
      </c>
      <c r="P262" s="25" t="s">
        <v>16</v>
      </c>
      <c r="Q262" s="16">
        <v>2958465</v>
      </c>
    </row>
    <row r="263" spans="1:17">
      <c r="A263" s="11">
        <f t="shared" si="4"/>
        <v>262</v>
      </c>
      <c r="B263" s="11">
        <v>8010062268</v>
      </c>
      <c r="C263" s="25" t="s">
        <v>1146</v>
      </c>
      <c r="D263" s="27">
        <v>127800</v>
      </c>
      <c r="E263" s="11">
        <v>0.48</v>
      </c>
      <c r="F263" s="11" t="s">
        <v>11</v>
      </c>
      <c r="G263" s="44">
        <v>61344</v>
      </c>
      <c r="H263" s="28">
        <v>55264.86486486486</v>
      </c>
      <c r="I263" s="19" t="s">
        <v>654</v>
      </c>
      <c r="J263" s="19" t="s">
        <v>655</v>
      </c>
      <c r="K263" s="32" t="s">
        <v>1077</v>
      </c>
      <c r="L263" s="22"/>
      <c r="M263" s="22"/>
      <c r="N263" s="22"/>
      <c r="O263" s="20" t="s">
        <v>15</v>
      </c>
      <c r="P263" s="25" t="s">
        <v>16</v>
      </c>
      <c r="Q263" s="16">
        <v>2958465</v>
      </c>
    </row>
    <row r="264" spans="1:17">
      <c r="A264" s="11">
        <f t="shared" si="4"/>
        <v>263</v>
      </c>
      <c r="B264" s="11">
        <v>8010062269</v>
      </c>
      <c r="C264" s="25" t="s">
        <v>1147</v>
      </c>
      <c r="D264" s="27">
        <v>198000</v>
      </c>
      <c r="E264" s="11">
        <v>0.48</v>
      </c>
      <c r="F264" s="11" t="s">
        <v>11</v>
      </c>
      <c r="G264" s="44">
        <v>95040</v>
      </c>
      <c r="H264" s="28">
        <v>85621.621621621613</v>
      </c>
      <c r="I264" s="19" t="s">
        <v>654</v>
      </c>
      <c r="J264" s="19" t="s">
        <v>655</v>
      </c>
      <c r="K264" s="32" t="s">
        <v>1077</v>
      </c>
      <c r="L264" s="22"/>
      <c r="M264" s="22"/>
      <c r="N264" s="22"/>
      <c r="O264" s="20" t="s">
        <v>15</v>
      </c>
      <c r="P264" s="25" t="s">
        <v>16</v>
      </c>
      <c r="Q264" s="16">
        <v>2958465</v>
      </c>
    </row>
    <row r="265" spans="1:17">
      <c r="A265" s="11">
        <f t="shared" si="4"/>
        <v>264</v>
      </c>
      <c r="B265" s="11">
        <v>8010062270</v>
      </c>
      <c r="C265" s="25" t="s">
        <v>1148</v>
      </c>
      <c r="D265" s="27">
        <v>313400</v>
      </c>
      <c r="E265" s="11">
        <v>0.48</v>
      </c>
      <c r="F265" s="11" t="s">
        <v>11</v>
      </c>
      <c r="G265" s="44">
        <v>150432</v>
      </c>
      <c r="H265" s="28">
        <v>135524.32432432432</v>
      </c>
      <c r="I265" s="19" t="s">
        <v>654</v>
      </c>
      <c r="J265" s="19" t="s">
        <v>655</v>
      </c>
      <c r="K265" s="32" t="s">
        <v>1077</v>
      </c>
      <c r="L265" s="22"/>
      <c r="M265" s="22"/>
      <c r="N265" s="22"/>
      <c r="O265" s="20" t="s">
        <v>15</v>
      </c>
      <c r="P265" s="25" t="s">
        <v>16</v>
      </c>
      <c r="Q265" s="16">
        <v>2958465</v>
      </c>
    </row>
    <row r="266" spans="1:17">
      <c r="A266" s="11">
        <f t="shared" si="4"/>
        <v>265</v>
      </c>
      <c r="B266" s="11">
        <v>8010062271</v>
      </c>
      <c r="C266" s="25" t="s">
        <v>1149</v>
      </c>
      <c r="D266" s="27">
        <v>438600</v>
      </c>
      <c r="E266" s="11">
        <v>0.48</v>
      </c>
      <c r="F266" s="11" t="s">
        <v>11</v>
      </c>
      <c r="G266" s="44">
        <v>210528</v>
      </c>
      <c r="H266" s="28">
        <v>189664.86486486485</v>
      </c>
      <c r="I266" s="19" t="s">
        <v>654</v>
      </c>
      <c r="J266" s="19" t="s">
        <v>655</v>
      </c>
      <c r="K266" s="32" t="s">
        <v>1077</v>
      </c>
      <c r="L266" s="22"/>
      <c r="M266" s="22"/>
      <c r="N266" s="22"/>
      <c r="O266" s="20" t="s">
        <v>15</v>
      </c>
      <c r="P266" s="25" t="s">
        <v>16</v>
      </c>
      <c r="Q266" s="16">
        <v>2958465</v>
      </c>
    </row>
    <row r="267" spans="1:17">
      <c r="A267" s="11">
        <f t="shared" si="4"/>
        <v>266</v>
      </c>
      <c r="B267" s="11">
        <v>8010062272</v>
      </c>
      <c r="C267" s="25" t="s">
        <v>1150</v>
      </c>
      <c r="D267" s="27">
        <v>656000</v>
      </c>
      <c r="E267" s="11">
        <v>0.48</v>
      </c>
      <c r="F267" s="11" t="s">
        <v>11</v>
      </c>
      <c r="G267" s="44">
        <v>314880</v>
      </c>
      <c r="H267" s="28">
        <v>283675.67567567562</v>
      </c>
      <c r="I267" s="19" t="s">
        <v>654</v>
      </c>
      <c r="J267" s="19" t="s">
        <v>655</v>
      </c>
      <c r="K267" s="32" t="s">
        <v>1077</v>
      </c>
      <c r="L267" s="22"/>
      <c r="M267" s="22"/>
      <c r="N267" s="22"/>
      <c r="O267" s="20" t="s">
        <v>15</v>
      </c>
      <c r="P267" s="25" t="s">
        <v>16</v>
      </c>
      <c r="Q267" s="16">
        <v>2958465</v>
      </c>
    </row>
    <row r="268" spans="1:17">
      <c r="A268" s="11">
        <f t="shared" si="4"/>
        <v>267</v>
      </c>
      <c r="B268" s="11">
        <v>8010062273</v>
      </c>
      <c r="C268" s="25" t="s">
        <v>1151</v>
      </c>
      <c r="D268" s="27">
        <v>974200</v>
      </c>
      <c r="E268" s="11">
        <v>0.48</v>
      </c>
      <c r="F268" s="11" t="s">
        <v>11</v>
      </c>
      <c r="G268" s="44">
        <v>467616</v>
      </c>
      <c r="H268" s="28">
        <v>421275.67567567562</v>
      </c>
      <c r="I268" s="19" t="s">
        <v>654</v>
      </c>
      <c r="J268" s="19" t="s">
        <v>655</v>
      </c>
      <c r="K268" s="32" t="s">
        <v>1077</v>
      </c>
      <c r="L268" s="22"/>
      <c r="M268" s="22"/>
      <c r="N268" s="22"/>
      <c r="O268" s="20" t="s">
        <v>15</v>
      </c>
      <c r="P268" s="25" t="s">
        <v>16</v>
      </c>
      <c r="Q268" s="16">
        <v>2958465</v>
      </c>
    </row>
    <row r="269" spans="1:17">
      <c r="A269" s="11">
        <f t="shared" si="4"/>
        <v>268</v>
      </c>
      <c r="B269" s="11">
        <v>8010062274</v>
      </c>
      <c r="C269" s="25" t="s">
        <v>1173</v>
      </c>
      <c r="D269" s="27">
        <v>1953380</v>
      </c>
      <c r="E269" s="11">
        <v>0.48</v>
      </c>
      <c r="F269" s="11" t="s">
        <v>11</v>
      </c>
      <c r="G269" s="44">
        <v>937622</v>
      </c>
      <c r="H269" s="28">
        <v>844704.50450450438</v>
      </c>
      <c r="I269" s="19" t="s">
        <v>654</v>
      </c>
      <c r="J269" s="19" t="s">
        <v>655</v>
      </c>
      <c r="K269" s="32" t="s">
        <v>1077</v>
      </c>
      <c r="L269" s="22"/>
      <c r="M269" s="22"/>
      <c r="N269" s="22"/>
      <c r="O269" s="20" t="s">
        <v>15</v>
      </c>
      <c r="P269" s="25" t="s">
        <v>16</v>
      </c>
      <c r="Q269" s="16">
        <v>2958465</v>
      </c>
    </row>
    <row r="270" spans="1:17">
      <c r="A270" s="11">
        <f t="shared" si="4"/>
        <v>269</v>
      </c>
      <c r="B270" s="11">
        <v>8010062275</v>
      </c>
      <c r="C270" s="25" t="s">
        <v>1152</v>
      </c>
      <c r="D270" s="27">
        <v>3319800</v>
      </c>
      <c r="E270" s="11">
        <v>0.48</v>
      </c>
      <c r="F270" s="11" t="s">
        <v>11</v>
      </c>
      <c r="G270" s="44">
        <v>1593504</v>
      </c>
      <c r="H270" s="28">
        <v>1435589.1891891891</v>
      </c>
      <c r="I270" s="19" t="s">
        <v>654</v>
      </c>
      <c r="J270" s="19" t="s">
        <v>655</v>
      </c>
      <c r="K270" s="32" t="s">
        <v>1077</v>
      </c>
      <c r="L270" s="22"/>
      <c r="M270" s="22"/>
      <c r="N270" s="22"/>
      <c r="O270" s="20" t="s">
        <v>15</v>
      </c>
      <c r="P270" s="25" t="s">
        <v>16</v>
      </c>
      <c r="Q270" s="16">
        <v>2958465</v>
      </c>
    </row>
    <row r="271" spans="1:17">
      <c r="A271" s="11">
        <f t="shared" si="4"/>
        <v>270</v>
      </c>
      <c r="B271" s="11">
        <v>8010062276</v>
      </c>
      <c r="C271" s="25" t="s">
        <v>1153</v>
      </c>
      <c r="D271" s="27">
        <v>45600</v>
      </c>
      <c r="E271" s="11">
        <v>0.48</v>
      </c>
      <c r="F271" s="11" t="s">
        <v>11</v>
      </c>
      <c r="G271" s="44">
        <v>21888</v>
      </c>
      <c r="H271" s="28">
        <v>19718.918918918916</v>
      </c>
      <c r="I271" s="19" t="s">
        <v>654</v>
      </c>
      <c r="J271" s="19" t="s">
        <v>655</v>
      </c>
      <c r="K271" s="32" t="s">
        <v>1077</v>
      </c>
      <c r="L271" s="22"/>
      <c r="M271" s="22"/>
      <c r="N271" s="22"/>
      <c r="O271" s="20" t="s">
        <v>15</v>
      </c>
      <c r="P271" s="25" t="s">
        <v>16</v>
      </c>
      <c r="Q271" s="16">
        <v>2958465</v>
      </c>
    </row>
    <row r="272" spans="1:17">
      <c r="A272" s="11">
        <f t="shared" si="4"/>
        <v>271</v>
      </c>
      <c r="B272" s="11">
        <v>8010062277</v>
      </c>
      <c r="C272" s="25" t="s">
        <v>1154</v>
      </c>
      <c r="D272" s="27">
        <v>71900</v>
      </c>
      <c r="E272" s="11">
        <v>0.48</v>
      </c>
      <c r="F272" s="11" t="s">
        <v>11</v>
      </c>
      <c r="G272" s="44">
        <v>34512</v>
      </c>
      <c r="H272" s="28">
        <v>31091.89189189189</v>
      </c>
      <c r="I272" s="19" t="s">
        <v>654</v>
      </c>
      <c r="J272" s="19" t="s">
        <v>655</v>
      </c>
      <c r="K272" s="32" t="s">
        <v>1077</v>
      </c>
      <c r="L272" s="22"/>
      <c r="M272" s="22"/>
      <c r="N272" s="22"/>
      <c r="O272" s="20" t="s">
        <v>15</v>
      </c>
      <c r="P272" s="25" t="s">
        <v>16</v>
      </c>
      <c r="Q272" s="16">
        <v>2958465</v>
      </c>
    </row>
    <row r="273" spans="1:17">
      <c r="A273" s="11">
        <f t="shared" si="4"/>
        <v>272</v>
      </c>
      <c r="B273" s="11">
        <v>8010062278</v>
      </c>
      <c r="C273" s="25" t="s">
        <v>1155</v>
      </c>
      <c r="D273" s="27">
        <v>115400</v>
      </c>
      <c r="E273" s="11">
        <v>0.48</v>
      </c>
      <c r="F273" s="11" t="s">
        <v>11</v>
      </c>
      <c r="G273" s="44">
        <v>55392</v>
      </c>
      <c r="H273" s="28">
        <v>49902.7027027027</v>
      </c>
      <c r="I273" s="19" t="s">
        <v>654</v>
      </c>
      <c r="J273" s="19" t="s">
        <v>655</v>
      </c>
      <c r="K273" s="32" t="s">
        <v>1077</v>
      </c>
      <c r="L273" s="22"/>
      <c r="M273" s="22"/>
      <c r="N273" s="22"/>
      <c r="O273" s="20" t="s">
        <v>15</v>
      </c>
      <c r="P273" s="25" t="s">
        <v>16</v>
      </c>
      <c r="Q273" s="16">
        <v>2958465</v>
      </c>
    </row>
    <row r="274" spans="1:17">
      <c r="A274" s="11">
        <f t="shared" si="4"/>
        <v>273</v>
      </c>
      <c r="B274" s="11">
        <v>8010062279</v>
      </c>
      <c r="C274" s="25" t="s">
        <v>1156</v>
      </c>
      <c r="D274" s="27">
        <v>184000</v>
      </c>
      <c r="E274" s="11">
        <v>0.48</v>
      </c>
      <c r="F274" s="11" t="s">
        <v>11</v>
      </c>
      <c r="G274" s="44">
        <v>88320</v>
      </c>
      <c r="H274" s="28">
        <v>79567.567567567559</v>
      </c>
      <c r="I274" s="19" t="s">
        <v>654</v>
      </c>
      <c r="J274" s="19" t="s">
        <v>655</v>
      </c>
      <c r="K274" s="32" t="s">
        <v>1077</v>
      </c>
      <c r="L274" s="22"/>
      <c r="M274" s="22"/>
      <c r="N274" s="22"/>
      <c r="O274" s="20" t="s">
        <v>15</v>
      </c>
      <c r="P274" s="25" t="s">
        <v>16</v>
      </c>
      <c r="Q274" s="16">
        <v>2958465</v>
      </c>
    </row>
    <row r="275" spans="1:17">
      <c r="A275" s="11">
        <f t="shared" si="4"/>
        <v>274</v>
      </c>
      <c r="B275" s="11">
        <v>8010062280</v>
      </c>
      <c r="C275" s="25" t="s">
        <v>1157</v>
      </c>
      <c r="D275" s="27">
        <v>287000</v>
      </c>
      <c r="E275" s="11">
        <v>0.48</v>
      </c>
      <c r="F275" s="11" t="s">
        <v>11</v>
      </c>
      <c r="G275" s="44">
        <v>137760</v>
      </c>
      <c r="H275" s="28">
        <v>124108.10810810809</v>
      </c>
      <c r="I275" s="19" t="s">
        <v>654</v>
      </c>
      <c r="J275" s="19" t="s">
        <v>655</v>
      </c>
      <c r="K275" s="32" t="s">
        <v>1077</v>
      </c>
      <c r="L275" s="22"/>
      <c r="M275" s="22"/>
      <c r="N275" s="22"/>
      <c r="O275" s="20" t="s">
        <v>15</v>
      </c>
      <c r="P275" s="25" t="s">
        <v>16</v>
      </c>
      <c r="Q275" s="16">
        <v>2958465</v>
      </c>
    </row>
    <row r="276" spans="1:17">
      <c r="A276" s="11">
        <f t="shared" si="4"/>
        <v>275</v>
      </c>
      <c r="B276" s="11">
        <v>8010062281</v>
      </c>
      <c r="C276" s="25" t="s">
        <v>1158</v>
      </c>
      <c r="D276" s="27">
        <v>451300</v>
      </c>
      <c r="E276" s="11">
        <v>0.48</v>
      </c>
      <c r="F276" s="11" t="s">
        <v>11</v>
      </c>
      <c r="G276" s="44">
        <v>216624</v>
      </c>
      <c r="H276" s="28">
        <v>195156.75675675675</v>
      </c>
      <c r="I276" s="19" t="s">
        <v>654</v>
      </c>
      <c r="J276" s="19" t="s">
        <v>655</v>
      </c>
      <c r="K276" s="32" t="s">
        <v>1077</v>
      </c>
      <c r="L276" s="22"/>
      <c r="M276" s="22"/>
      <c r="N276" s="22"/>
      <c r="O276" s="20" t="s">
        <v>15</v>
      </c>
      <c r="P276" s="25" t="s">
        <v>16</v>
      </c>
      <c r="Q276" s="16">
        <v>2958465</v>
      </c>
    </row>
    <row r="277" spans="1:17">
      <c r="A277" s="11">
        <f t="shared" si="4"/>
        <v>276</v>
      </c>
      <c r="B277" s="11">
        <v>8010062282</v>
      </c>
      <c r="C277" s="25" t="s">
        <v>1159</v>
      </c>
      <c r="D277" s="27">
        <v>642600</v>
      </c>
      <c r="E277" s="11">
        <v>0.48</v>
      </c>
      <c r="F277" s="11" t="s">
        <v>11</v>
      </c>
      <c r="G277" s="44">
        <v>308448</v>
      </c>
      <c r="H277" s="28">
        <v>277881.08108108107</v>
      </c>
      <c r="I277" s="19" t="s">
        <v>654</v>
      </c>
      <c r="J277" s="19" t="s">
        <v>655</v>
      </c>
      <c r="K277" s="32" t="s">
        <v>1077</v>
      </c>
      <c r="L277" s="22"/>
      <c r="M277" s="22"/>
      <c r="N277" s="22"/>
      <c r="O277" s="20" t="s">
        <v>15</v>
      </c>
      <c r="P277" s="25" t="s">
        <v>16</v>
      </c>
      <c r="Q277" s="16">
        <v>2958465</v>
      </c>
    </row>
    <row r="278" spans="1:17">
      <c r="A278" s="11">
        <f t="shared" si="4"/>
        <v>277</v>
      </c>
      <c r="B278" s="11">
        <v>8010062283</v>
      </c>
      <c r="C278" s="25" t="s">
        <v>1160</v>
      </c>
      <c r="D278" s="27">
        <v>954600</v>
      </c>
      <c r="E278" s="11">
        <v>0.48</v>
      </c>
      <c r="F278" s="11" t="s">
        <v>11</v>
      </c>
      <c r="G278" s="44">
        <v>458208</v>
      </c>
      <c r="H278" s="28">
        <v>412799.99999999994</v>
      </c>
      <c r="I278" s="19" t="s">
        <v>654</v>
      </c>
      <c r="J278" s="19" t="s">
        <v>655</v>
      </c>
      <c r="K278" s="32" t="s">
        <v>1077</v>
      </c>
      <c r="L278" s="22"/>
      <c r="M278" s="22"/>
      <c r="N278" s="22"/>
      <c r="O278" s="20" t="s">
        <v>15</v>
      </c>
      <c r="P278" s="25" t="s">
        <v>16</v>
      </c>
      <c r="Q278" s="16">
        <v>2958465</v>
      </c>
    </row>
    <row r="279" spans="1:17">
      <c r="A279" s="11">
        <f t="shared" si="4"/>
        <v>278</v>
      </c>
      <c r="B279" s="11">
        <v>8010062284</v>
      </c>
      <c r="C279" s="25" t="s">
        <v>1161</v>
      </c>
      <c r="D279" s="27">
        <v>1429900</v>
      </c>
      <c r="E279" s="11">
        <v>0.48</v>
      </c>
      <c r="F279" s="11" t="s">
        <v>11</v>
      </c>
      <c r="G279" s="44">
        <v>686352</v>
      </c>
      <c r="H279" s="28">
        <v>618335.13513513503</v>
      </c>
      <c r="I279" s="19" t="s">
        <v>654</v>
      </c>
      <c r="J279" s="19" t="s">
        <v>655</v>
      </c>
      <c r="K279" s="32" t="s">
        <v>1077</v>
      </c>
      <c r="L279" s="22"/>
      <c r="M279" s="22"/>
      <c r="N279" s="22"/>
      <c r="O279" s="20" t="s">
        <v>15</v>
      </c>
      <c r="P279" s="25" t="s">
        <v>16</v>
      </c>
      <c r="Q279" s="16">
        <v>2958465</v>
      </c>
    </row>
    <row r="280" spans="1:17">
      <c r="A280" s="11">
        <f t="shared" si="4"/>
        <v>279</v>
      </c>
      <c r="B280" s="11">
        <v>8010062285</v>
      </c>
      <c r="C280" s="25" t="s">
        <v>1174</v>
      </c>
      <c r="D280" s="27">
        <v>2426011.1111111101</v>
      </c>
      <c r="E280" s="11">
        <v>0.48</v>
      </c>
      <c r="F280" s="11" t="s">
        <v>11</v>
      </c>
      <c r="G280" s="44">
        <v>1164485</v>
      </c>
      <c r="H280" s="28">
        <v>1049085.5855855856</v>
      </c>
      <c r="I280" s="19" t="s">
        <v>654</v>
      </c>
      <c r="J280" s="19" t="s">
        <v>655</v>
      </c>
      <c r="K280" s="32" t="s">
        <v>1077</v>
      </c>
      <c r="L280" s="22"/>
      <c r="M280" s="22"/>
      <c r="N280" s="22"/>
      <c r="O280" s="20" t="s">
        <v>15</v>
      </c>
      <c r="P280" s="25" t="s">
        <v>16</v>
      </c>
      <c r="Q280" s="16">
        <v>2958465</v>
      </c>
    </row>
    <row r="281" spans="1:17">
      <c r="A281" s="11">
        <f t="shared" si="4"/>
        <v>280</v>
      </c>
      <c r="B281" s="11">
        <v>8010062286</v>
      </c>
      <c r="C281" s="25" t="s">
        <v>1162</v>
      </c>
      <c r="D281" s="27">
        <v>4813800</v>
      </c>
      <c r="E281" s="11">
        <v>0.48</v>
      </c>
      <c r="F281" s="11" t="s">
        <v>11</v>
      </c>
      <c r="G281" s="44">
        <v>2310624</v>
      </c>
      <c r="H281" s="28">
        <v>2081643.2432432431</v>
      </c>
      <c r="I281" s="19" t="s">
        <v>654</v>
      </c>
      <c r="J281" s="19" t="s">
        <v>655</v>
      </c>
      <c r="K281" s="32" t="s">
        <v>1077</v>
      </c>
      <c r="L281" s="22"/>
      <c r="M281" s="22"/>
      <c r="N281" s="22"/>
      <c r="O281" s="20" t="s">
        <v>15</v>
      </c>
      <c r="P281" s="25" t="s">
        <v>16</v>
      </c>
      <c r="Q281" s="16">
        <v>2958465</v>
      </c>
    </row>
    <row r="282" spans="1:17">
      <c r="A282" s="11">
        <f t="shared" si="4"/>
        <v>281</v>
      </c>
      <c r="B282" s="11">
        <v>8010062287</v>
      </c>
      <c r="C282" s="25" t="s">
        <v>1163</v>
      </c>
      <c r="D282" s="27">
        <v>51900</v>
      </c>
      <c r="E282" s="11">
        <v>0.48</v>
      </c>
      <c r="F282" s="11" t="s">
        <v>11</v>
      </c>
      <c r="G282" s="44">
        <v>24912</v>
      </c>
      <c r="H282" s="28">
        <v>22443.24324324324</v>
      </c>
      <c r="I282" s="19" t="s">
        <v>654</v>
      </c>
      <c r="J282" s="19" t="s">
        <v>655</v>
      </c>
      <c r="K282" s="32" t="s">
        <v>1077</v>
      </c>
      <c r="L282" s="22"/>
      <c r="M282" s="22"/>
      <c r="N282" s="22"/>
      <c r="O282" s="20" t="s">
        <v>15</v>
      </c>
      <c r="P282" s="25" t="s">
        <v>16</v>
      </c>
      <c r="Q282" s="16">
        <v>2958465</v>
      </c>
    </row>
    <row r="283" spans="1:17">
      <c r="A283" s="11">
        <f t="shared" si="4"/>
        <v>282</v>
      </c>
      <c r="B283" s="11">
        <v>8010062288</v>
      </c>
      <c r="C283" s="25" t="s">
        <v>1164</v>
      </c>
      <c r="D283" s="27">
        <v>79600</v>
      </c>
      <c r="E283" s="11">
        <v>0.48</v>
      </c>
      <c r="F283" s="11" t="s">
        <v>11</v>
      </c>
      <c r="G283" s="44">
        <v>38208</v>
      </c>
      <c r="H283" s="28">
        <v>34421.62162162162</v>
      </c>
      <c r="I283" s="19" t="s">
        <v>654</v>
      </c>
      <c r="J283" s="19" t="s">
        <v>655</v>
      </c>
      <c r="K283" s="32" t="s">
        <v>1077</v>
      </c>
      <c r="L283" s="22"/>
      <c r="M283" s="22"/>
      <c r="N283" s="22"/>
      <c r="O283" s="20" t="s">
        <v>15</v>
      </c>
      <c r="P283" s="25" t="s">
        <v>16</v>
      </c>
      <c r="Q283" s="16">
        <v>2958465</v>
      </c>
    </row>
    <row r="284" spans="1:17">
      <c r="A284" s="11">
        <f t="shared" si="4"/>
        <v>283</v>
      </c>
      <c r="B284" s="11">
        <v>8010062289</v>
      </c>
      <c r="C284" s="25" t="s">
        <v>1165</v>
      </c>
      <c r="D284" s="27">
        <v>130700</v>
      </c>
      <c r="E284" s="11">
        <v>0.48</v>
      </c>
      <c r="F284" s="11" t="s">
        <v>11</v>
      </c>
      <c r="G284" s="44">
        <v>62736</v>
      </c>
      <c r="H284" s="28">
        <v>56518.918918918913</v>
      </c>
      <c r="I284" s="19" t="s">
        <v>654</v>
      </c>
      <c r="J284" s="19" t="s">
        <v>655</v>
      </c>
      <c r="K284" s="32" t="s">
        <v>1077</v>
      </c>
      <c r="L284" s="22"/>
      <c r="M284" s="22"/>
      <c r="N284" s="22"/>
      <c r="O284" s="20" t="s">
        <v>15</v>
      </c>
      <c r="P284" s="25" t="s">
        <v>16</v>
      </c>
      <c r="Q284" s="16">
        <v>2958465</v>
      </c>
    </row>
    <row r="285" spans="1:17">
      <c r="A285" s="11">
        <f t="shared" si="4"/>
        <v>284</v>
      </c>
      <c r="B285" s="11">
        <v>8010062290</v>
      </c>
      <c r="C285" s="25" t="s">
        <v>1166</v>
      </c>
      <c r="D285" s="27">
        <v>206500</v>
      </c>
      <c r="E285" s="11">
        <v>0.48</v>
      </c>
      <c r="F285" s="11" t="s">
        <v>11</v>
      </c>
      <c r="G285" s="44">
        <v>99120</v>
      </c>
      <c r="H285" s="28">
        <v>89297.297297297293</v>
      </c>
      <c r="I285" s="19" t="s">
        <v>654</v>
      </c>
      <c r="J285" s="19" t="s">
        <v>655</v>
      </c>
      <c r="K285" s="32" t="s">
        <v>1077</v>
      </c>
      <c r="L285" s="22"/>
      <c r="M285" s="22"/>
      <c r="N285" s="22"/>
      <c r="O285" s="20" t="s">
        <v>15</v>
      </c>
      <c r="P285" s="25" t="s">
        <v>16</v>
      </c>
      <c r="Q285" s="16">
        <v>2958465</v>
      </c>
    </row>
    <row r="286" spans="1:17">
      <c r="A286" s="11">
        <f t="shared" si="4"/>
        <v>285</v>
      </c>
      <c r="B286" s="11">
        <v>8010062291</v>
      </c>
      <c r="C286" s="25" t="s">
        <v>1167</v>
      </c>
      <c r="D286" s="27">
        <v>322700</v>
      </c>
      <c r="E286" s="11">
        <v>0.48</v>
      </c>
      <c r="F286" s="11" t="s">
        <v>11</v>
      </c>
      <c r="G286" s="44">
        <v>154896</v>
      </c>
      <c r="H286" s="28">
        <v>139545.94594594595</v>
      </c>
      <c r="I286" s="19" t="s">
        <v>654</v>
      </c>
      <c r="J286" s="19" t="s">
        <v>655</v>
      </c>
      <c r="K286" s="32" t="s">
        <v>1077</v>
      </c>
      <c r="L286" s="22"/>
      <c r="M286" s="22"/>
      <c r="N286" s="22"/>
      <c r="O286" s="20" t="s">
        <v>15</v>
      </c>
      <c r="P286" s="25" t="s">
        <v>16</v>
      </c>
      <c r="Q286" s="16">
        <v>2958465</v>
      </c>
    </row>
    <row r="287" spans="1:17">
      <c r="A287" s="11">
        <f t="shared" si="4"/>
        <v>286</v>
      </c>
      <c r="B287" s="11">
        <v>8010062292</v>
      </c>
      <c r="C287" s="25" t="s">
        <v>1168</v>
      </c>
      <c r="D287" s="27">
        <v>511200</v>
      </c>
      <c r="E287" s="11">
        <v>0.48</v>
      </c>
      <c r="F287" s="11" t="s">
        <v>11</v>
      </c>
      <c r="G287" s="44">
        <v>245376</v>
      </c>
      <c r="H287" s="28">
        <v>221059.45945945944</v>
      </c>
      <c r="I287" s="19" t="s">
        <v>654</v>
      </c>
      <c r="J287" s="19" t="s">
        <v>655</v>
      </c>
      <c r="K287" s="32" t="s">
        <v>1077</v>
      </c>
      <c r="L287" s="22"/>
      <c r="M287" s="22"/>
      <c r="N287" s="22"/>
      <c r="O287" s="20" t="s">
        <v>15</v>
      </c>
      <c r="P287" s="25" t="s">
        <v>16</v>
      </c>
      <c r="Q287" s="16">
        <v>2958465</v>
      </c>
    </row>
    <row r="288" spans="1:17">
      <c r="A288" s="11">
        <f t="shared" si="4"/>
        <v>287</v>
      </c>
      <c r="B288" s="11">
        <v>8010062293</v>
      </c>
      <c r="C288" s="25" t="s">
        <v>1169</v>
      </c>
      <c r="D288" s="27">
        <v>723700</v>
      </c>
      <c r="E288" s="11">
        <v>0.48</v>
      </c>
      <c r="F288" s="11" t="s">
        <v>11</v>
      </c>
      <c r="G288" s="44">
        <v>347376</v>
      </c>
      <c r="H288" s="28">
        <v>312951.3513513513</v>
      </c>
      <c r="I288" s="19" t="s">
        <v>654</v>
      </c>
      <c r="J288" s="19" t="s">
        <v>655</v>
      </c>
      <c r="K288" s="32" t="s">
        <v>1077</v>
      </c>
      <c r="L288" s="22"/>
      <c r="M288" s="22"/>
      <c r="N288" s="22"/>
      <c r="O288" s="20" t="s">
        <v>15</v>
      </c>
      <c r="P288" s="25" t="s">
        <v>16</v>
      </c>
      <c r="Q288" s="16">
        <v>2958465</v>
      </c>
    </row>
    <row r="289" spans="1:17">
      <c r="A289" s="11">
        <f t="shared" si="4"/>
        <v>288</v>
      </c>
      <c r="B289" s="11">
        <v>8010062294</v>
      </c>
      <c r="C289" s="25" t="s">
        <v>1170</v>
      </c>
      <c r="D289" s="27">
        <v>1078200</v>
      </c>
      <c r="E289" s="11">
        <v>0.48</v>
      </c>
      <c r="F289" s="11" t="s">
        <v>11</v>
      </c>
      <c r="G289" s="44">
        <v>517536</v>
      </c>
      <c r="H289" s="28">
        <v>466248.64864864858</v>
      </c>
      <c r="I289" s="19" t="s">
        <v>654</v>
      </c>
      <c r="J289" s="19" t="s">
        <v>655</v>
      </c>
      <c r="K289" s="32" t="s">
        <v>1077</v>
      </c>
      <c r="L289" s="22"/>
      <c r="M289" s="22"/>
      <c r="N289" s="22"/>
      <c r="O289" s="20" t="s">
        <v>15</v>
      </c>
      <c r="P289" s="25" t="s">
        <v>16</v>
      </c>
      <c r="Q289" s="16">
        <v>2958465</v>
      </c>
    </row>
    <row r="290" spans="1:17">
      <c r="A290" s="11">
        <f t="shared" si="4"/>
        <v>289</v>
      </c>
      <c r="B290" s="11">
        <v>8010062295</v>
      </c>
      <c r="C290" s="25" t="s">
        <v>1171</v>
      </c>
      <c r="D290" s="27">
        <v>1611200</v>
      </c>
      <c r="E290" s="11">
        <v>0.48</v>
      </c>
      <c r="F290" s="11" t="s">
        <v>11</v>
      </c>
      <c r="G290" s="44">
        <v>773376</v>
      </c>
      <c r="H290" s="28">
        <v>696735.13513513503</v>
      </c>
      <c r="I290" s="19" t="s">
        <v>654</v>
      </c>
      <c r="J290" s="19" t="s">
        <v>655</v>
      </c>
      <c r="K290" s="32" t="s">
        <v>1077</v>
      </c>
      <c r="L290" s="22"/>
      <c r="M290" s="22"/>
      <c r="N290" s="22"/>
      <c r="O290" s="20" t="s">
        <v>15</v>
      </c>
      <c r="P290" s="25" t="s">
        <v>16</v>
      </c>
      <c r="Q290" s="16">
        <v>2958465</v>
      </c>
    </row>
    <row r="291" spans="1:17">
      <c r="A291" s="11">
        <f t="shared" si="4"/>
        <v>290</v>
      </c>
      <c r="B291" s="11">
        <v>8010062296</v>
      </c>
      <c r="C291" s="25" t="s">
        <v>1175</v>
      </c>
      <c r="D291" s="27">
        <v>2711095.5555555602</v>
      </c>
      <c r="E291" s="11">
        <v>0.48</v>
      </c>
      <c r="F291" s="11" t="s">
        <v>11</v>
      </c>
      <c r="G291" s="44">
        <v>1301326</v>
      </c>
      <c r="H291" s="28">
        <v>1172365.7657657657</v>
      </c>
      <c r="I291" s="19" t="s">
        <v>654</v>
      </c>
      <c r="J291" s="19" t="s">
        <v>655</v>
      </c>
      <c r="K291" s="32" t="s">
        <v>1077</v>
      </c>
      <c r="L291" s="22"/>
      <c r="M291" s="22"/>
      <c r="N291" s="22"/>
      <c r="O291" s="20" t="s">
        <v>15</v>
      </c>
      <c r="P291" s="25" t="s">
        <v>16</v>
      </c>
      <c r="Q291" s="16">
        <v>2958465</v>
      </c>
    </row>
    <row r="292" spans="1:17">
      <c r="A292" s="11">
        <f t="shared" si="4"/>
        <v>291</v>
      </c>
      <c r="B292" s="11">
        <v>8010062297</v>
      </c>
      <c r="C292" s="25" t="s">
        <v>1172</v>
      </c>
      <c r="D292" s="27">
        <v>5490500</v>
      </c>
      <c r="E292" s="11">
        <v>0.48</v>
      </c>
      <c r="F292" s="11" t="s">
        <v>11</v>
      </c>
      <c r="G292" s="44">
        <v>2635440</v>
      </c>
      <c r="H292" s="28">
        <v>2374270.2702702698</v>
      </c>
      <c r="I292" s="19" t="s">
        <v>654</v>
      </c>
      <c r="J292" s="19" t="s">
        <v>655</v>
      </c>
      <c r="K292" s="32" t="s">
        <v>1077</v>
      </c>
      <c r="L292" s="22"/>
      <c r="M292" s="22"/>
      <c r="N292" s="22"/>
      <c r="O292" s="20" t="s">
        <v>15</v>
      </c>
      <c r="P292" s="25" t="s">
        <v>16</v>
      </c>
      <c r="Q292" s="16">
        <v>2958465</v>
      </c>
    </row>
    <row r="293" spans="1:17">
      <c r="A293" s="11">
        <f t="shared" si="4"/>
        <v>292</v>
      </c>
      <c r="B293" s="11">
        <v>8010062298</v>
      </c>
      <c r="C293" s="25" t="s">
        <v>1176</v>
      </c>
      <c r="D293" s="27">
        <v>57090</v>
      </c>
      <c r="E293" s="11">
        <v>0.48</v>
      </c>
      <c r="F293" s="11" t="s">
        <v>11</v>
      </c>
      <c r="G293" s="44">
        <v>27403</v>
      </c>
      <c r="H293" s="28">
        <v>24687.387387387385</v>
      </c>
      <c r="I293" s="19" t="s">
        <v>654</v>
      </c>
      <c r="J293" s="19" t="s">
        <v>655</v>
      </c>
      <c r="K293" s="32" t="s">
        <v>1077</v>
      </c>
      <c r="L293" s="22"/>
      <c r="M293" s="22"/>
      <c r="N293" s="22"/>
      <c r="O293" s="20" t="s">
        <v>15</v>
      </c>
      <c r="P293" s="25" t="s">
        <v>16</v>
      </c>
      <c r="Q293" s="16">
        <v>2958465</v>
      </c>
    </row>
    <row r="294" spans="1:17">
      <c r="A294" s="11">
        <f t="shared" si="4"/>
        <v>293</v>
      </c>
      <c r="B294" s="11">
        <v>8010062299</v>
      </c>
      <c r="C294" s="25" t="s">
        <v>1177</v>
      </c>
      <c r="D294" s="27">
        <v>87560</v>
      </c>
      <c r="E294" s="11">
        <v>0.48</v>
      </c>
      <c r="F294" s="11" t="s">
        <v>11</v>
      </c>
      <c r="G294" s="44">
        <v>42029</v>
      </c>
      <c r="H294" s="28">
        <v>37863.963963963957</v>
      </c>
      <c r="I294" s="19" t="s">
        <v>654</v>
      </c>
      <c r="J294" s="19" t="s">
        <v>655</v>
      </c>
      <c r="K294" s="32" t="s">
        <v>1077</v>
      </c>
      <c r="L294" s="22"/>
      <c r="M294" s="22"/>
      <c r="N294" s="22"/>
      <c r="O294" s="20" t="s">
        <v>15</v>
      </c>
      <c r="P294" s="25" t="s">
        <v>16</v>
      </c>
      <c r="Q294" s="16">
        <v>2958465</v>
      </c>
    </row>
    <row r="295" spans="1:17">
      <c r="A295" s="11">
        <f t="shared" si="4"/>
        <v>294</v>
      </c>
      <c r="B295" s="11">
        <v>8010062300</v>
      </c>
      <c r="C295" s="25" t="s">
        <v>1178</v>
      </c>
      <c r="D295" s="27">
        <v>143770</v>
      </c>
      <c r="E295" s="11">
        <v>0.48</v>
      </c>
      <c r="F295" s="11" t="s">
        <v>11</v>
      </c>
      <c r="G295" s="44">
        <v>69010</v>
      </c>
      <c r="H295" s="28">
        <v>62171.171171171169</v>
      </c>
      <c r="I295" s="19" t="s">
        <v>654</v>
      </c>
      <c r="J295" s="19" t="s">
        <v>655</v>
      </c>
      <c r="K295" s="32" t="s">
        <v>1077</v>
      </c>
      <c r="L295" s="22"/>
      <c r="M295" s="22"/>
      <c r="N295" s="22"/>
      <c r="O295" s="20" t="s">
        <v>15</v>
      </c>
      <c r="P295" s="25" t="s">
        <v>16</v>
      </c>
      <c r="Q295" s="16">
        <v>2958465</v>
      </c>
    </row>
    <row r="296" spans="1:17">
      <c r="A296" s="11">
        <f t="shared" si="4"/>
        <v>295</v>
      </c>
      <c r="B296" s="11">
        <v>8010062301</v>
      </c>
      <c r="C296" s="25" t="s">
        <v>1179</v>
      </c>
      <c r="D296" s="27">
        <v>227150</v>
      </c>
      <c r="E296" s="11">
        <v>0.48</v>
      </c>
      <c r="F296" s="11" t="s">
        <v>11</v>
      </c>
      <c r="G296" s="44">
        <v>109032</v>
      </c>
      <c r="H296" s="28">
        <v>98227.027027027012</v>
      </c>
      <c r="I296" s="19" t="s">
        <v>654</v>
      </c>
      <c r="J296" s="19" t="s">
        <v>655</v>
      </c>
      <c r="K296" s="32" t="s">
        <v>1077</v>
      </c>
      <c r="L296" s="22"/>
      <c r="M296" s="22"/>
      <c r="N296" s="22"/>
      <c r="O296" s="20" t="s">
        <v>15</v>
      </c>
      <c r="P296" s="25" t="s">
        <v>16</v>
      </c>
      <c r="Q296" s="16">
        <v>2958465</v>
      </c>
    </row>
    <row r="297" spans="1:17">
      <c r="A297" s="11">
        <f t="shared" si="4"/>
        <v>296</v>
      </c>
      <c r="B297" s="11">
        <v>8010062302</v>
      </c>
      <c r="C297" s="25" t="s">
        <v>1180</v>
      </c>
      <c r="D297" s="27">
        <v>354970</v>
      </c>
      <c r="E297" s="11">
        <v>0.48</v>
      </c>
      <c r="F297" s="11" t="s">
        <v>11</v>
      </c>
      <c r="G297" s="44">
        <v>170386</v>
      </c>
      <c r="H297" s="28">
        <v>153500.90090090089</v>
      </c>
      <c r="I297" s="19" t="s">
        <v>654</v>
      </c>
      <c r="J297" s="19" t="s">
        <v>655</v>
      </c>
      <c r="K297" s="32" t="s">
        <v>1077</v>
      </c>
      <c r="L297" s="22"/>
      <c r="M297" s="22"/>
      <c r="N297" s="22"/>
      <c r="O297" s="20" t="s">
        <v>15</v>
      </c>
      <c r="P297" s="25" t="s">
        <v>16</v>
      </c>
      <c r="Q297" s="16">
        <v>2958465</v>
      </c>
    </row>
    <row r="298" spans="1:17">
      <c r="A298" s="11">
        <f t="shared" si="4"/>
        <v>297</v>
      </c>
      <c r="B298" s="11">
        <v>8010062303</v>
      </c>
      <c r="C298" s="25" t="s">
        <v>1181</v>
      </c>
      <c r="D298" s="27">
        <v>562320</v>
      </c>
      <c r="E298" s="11">
        <v>0.48</v>
      </c>
      <c r="F298" s="11" t="s">
        <v>11</v>
      </c>
      <c r="G298" s="44">
        <v>269914</v>
      </c>
      <c r="H298" s="28">
        <v>243165.76576576574</v>
      </c>
      <c r="I298" s="19" t="s">
        <v>654</v>
      </c>
      <c r="J298" s="19" t="s">
        <v>655</v>
      </c>
      <c r="K298" s="32" t="s">
        <v>1077</v>
      </c>
      <c r="L298" s="22"/>
      <c r="M298" s="22"/>
      <c r="N298" s="22"/>
      <c r="O298" s="20" t="s">
        <v>15</v>
      </c>
      <c r="P298" s="25" t="s">
        <v>16</v>
      </c>
      <c r="Q298" s="16">
        <v>2958465</v>
      </c>
    </row>
    <row r="299" spans="1:17">
      <c r="A299" s="11">
        <f t="shared" si="4"/>
        <v>298</v>
      </c>
      <c r="B299" s="11">
        <v>8010062304</v>
      </c>
      <c r="C299" s="25" t="s">
        <v>1182</v>
      </c>
      <c r="D299" s="27">
        <v>796070</v>
      </c>
      <c r="E299" s="11">
        <v>0.48</v>
      </c>
      <c r="F299" s="11" t="s">
        <v>11</v>
      </c>
      <c r="G299" s="44">
        <v>382114</v>
      </c>
      <c r="H299" s="28">
        <v>344246.84684684681</v>
      </c>
      <c r="I299" s="19" t="s">
        <v>654</v>
      </c>
      <c r="J299" s="19" t="s">
        <v>655</v>
      </c>
      <c r="K299" s="32" t="s">
        <v>1077</v>
      </c>
      <c r="L299" s="22"/>
      <c r="M299" s="22"/>
      <c r="N299" s="22"/>
      <c r="O299" s="20" t="s">
        <v>15</v>
      </c>
      <c r="P299" s="25" t="s">
        <v>16</v>
      </c>
      <c r="Q299" s="16">
        <v>2958465</v>
      </c>
    </row>
    <row r="300" spans="1:17">
      <c r="A300" s="11">
        <f t="shared" si="4"/>
        <v>299</v>
      </c>
      <c r="B300" s="11">
        <v>8010062305</v>
      </c>
      <c r="C300" s="25" t="s">
        <v>1183</v>
      </c>
      <c r="D300" s="27">
        <v>1186020</v>
      </c>
      <c r="E300" s="11">
        <v>0.48</v>
      </c>
      <c r="F300" s="11" t="s">
        <v>11</v>
      </c>
      <c r="G300" s="44">
        <v>569290</v>
      </c>
      <c r="H300" s="28">
        <v>512873.87387387385</v>
      </c>
      <c r="I300" s="19" t="s">
        <v>654</v>
      </c>
      <c r="J300" s="19" t="s">
        <v>655</v>
      </c>
      <c r="K300" s="32" t="s">
        <v>1077</v>
      </c>
      <c r="L300" s="22"/>
      <c r="M300" s="22"/>
      <c r="N300" s="22"/>
      <c r="O300" s="20" t="s">
        <v>15</v>
      </c>
      <c r="P300" s="25" t="s">
        <v>16</v>
      </c>
      <c r="Q300" s="16">
        <v>2958465</v>
      </c>
    </row>
    <row r="301" spans="1:17">
      <c r="A301" s="11">
        <f t="shared" si="4"/>
        <v>300</v>
      </c>
      <c r="B301" s="11">
        <v>8010062306</v>
      </c>
      <c r="C301" s="25" t="s">
        <v>1184</v>
      </c>
      <c r="D301" s="27">
        <v>1772320</v>
      </c>
      <c r="E301" s="11">
        <v>0.48</v>
      </c>
      <c r="F301" s="11" t="s">
        <v>11</v>
      </c>
      <c r="G301" s="44">
        <v>850714</v>
      </c>
      <c r="H301" s="28">
        <v>766409.00900900899</v>
      </c>
      <c r="I301" s="19" t="s">
        <v>654</v>
      </c>
      <c r="J301" s="19" t="s">
        <v>655</v>
      </c>
      <c r="K301" s="32" t="s">
        <v>1077</v>
      </c>
      <c r="L301" s="22"/>
      <c r="M301" s="22"/>
      <c r="N301" s="22"/>
      <c r="O301" s="20" t="s">
        <v>15</v>
      </c>
      <c r="P301" s="25" t="s">
        <v>16</v>
      </c>
      <c r="Q301" s="16">
        <v>2958465</v>
      </c>
    </row>
    <row r="302" spans="1:17">
      <c r="A302" s="11">
        <f t="shared" si="4"/>
        <v>301</v>
      </c>
      <c r="B302" s="11">
        <v>8010062307</v>
      </c>
      <c r="C302" s="25" t="s">
        <v>1185</v>
      </c>
      <c r="D302" s="27">
        <v>2982205.1111111101</v>
      </c>
      <c r="E302" s="11">
        <v>0.48</v>
      </c>
      <c r="F302" s="11" t="s">
        <v>11</v>
      </c>
      <c r="G302" s="44">
        <v>1431458</v>
      </c>
      <c r="H302" s="28">
        <v>1289601.8018018017</v>
      </c>
      <c r="I302" s="19" t="s">
        <v>654</v>
      </c>
      <c r="J302" s="19" t="s">
        <v>655</v>
      </c>
      <c r="K302" s="32" t="s">
        <v>1077</v>
      </c>
      <c r="L302" s="22"/>
      <c r="M302" s="22"/>
      <c r="N302" s="22"/>
      <c r="O302" s="20" t="s">
        <v>15</v>
      </c>
      <c r="P302" s="25" t="s">
        <v>16</v>
      </c>
      <c r="Q302" s="16">
        <v>2958465</v>
      </c>
    </row>
    <row r="303" spans="1:17">
      <c r="A303" s="11">
        <f t="shared" si="4"/>
        <v>302</v>
      </c>
      <c r="B303" s="11">
        <v>8010062308</v>
      </c>
      <c r="C303" s="25" t="s">
        <v>1186</v>
      </c>
      <c r="D303" s="27">
        <v>6039550</v>
      </c>
      <c r="E303" s="11">
        <v>0.48</v>
      </c>
      <c r="F303" s="11" t="s">
        <v>11</v>
      </c>
      <c r="G303" s="44">
        <v>2898984</v>
      </c>
      <c r="H303" s="28">
        <v>2611697.297297297</v>
      </c>
      <c r="I303" s="19" t="s">
        <v>654</v>
      </c>
      <c r="J303" s="19" t="s">
        <v>655</v>
      </c>
      <c r="K303" s="32" t="s">
        <v>1077</v>
      </c>
      <c r="L303" s="22"/>
      <c r="M303" s="22"/>
      <c r="N303" s="22"/>
      <c r="O303" s="20" t="s">
        <v>15</v>
      </c>
      <c r="P303" s="25" t="s">
        <v>16</v>
      </c>
      <c r="Q303" s="16">
        <v>2958465</v>
      </c>
    </row>
    <row r="304" spans="1:17">
      <c r="A304" s="11">
        <f t="shared" si="4"/>
        <v>303</v>
      </c>
      <c r="B304" s="11">
        <v>8010070232</v>
      </c>
      <c r="C304" s="25" t="s">
        <v>943</v>
      </c>
      <c r="D304" s="27">
        <v>475000</v>
      </c>
      <c r="E304" s="11">
        <v>0.43</v>
      </c>
      <c r="F304" s="11" t="s">
        <v>11</v>
      </c>
      <c r="G304" s="44">
        <v>204250</v>
      </c>
      <c r="H304" s="28">
        <v>184009.00900900899</v>
      </c>
      <c r="I304" s="19" t="s">
        <v>654</v>
      </c>
      <c r="J304" s="19" t="s">
        <v>655</v>
      </c>
      <c r="K304" s="32" t="s">
        <v>834</v>
      </c>
      <c r="L304" s="22"/>
      <c r="M304" s="22"/>
      <c r="N304" s="22"/>
      <c r="O304" s="20" t="s">
        <v>15</v>
      </c>
      <c r="P304" s="25" t="s">
        <v>16</v>
      </c>
      <c r="Q304" s="16">
        <v>2958465</v>
      </c>
    </row>
    <row r="305" spans="1:17">
      <c r="A305" s="11">
        <f t="shared" si="4"/>
        <v>304</v>
      </c>
      <c r="B305" s="11">
        <v>8010070233</v>
      </c>
      <c r="C305" s="25" t="s">
        <v>914</v>
      </c>
      <c r="D305" s="27">
        <v>712500</v>
      </c>
      <c r="E305" s="11">
        <v>0.43</v>
      </c>
      <c r="F305" s="11" t="s">
        <v>11</v>
      </c>
      <c r="G305" s="44">
        <v>306375</v>
      </c>
      <c r="H305" s="28">
        <v>276013.51351351349</v>
      </c>
      <c r="I305" s="19" t="s">
        <v>654</v>
      </c>
      <c r="J305" s="19" t="s">
        <v>655</v>
      </c>
      <c r="K305" s="32" t="s">
        <v>834</v>
      </c>
      <c r="L305" s="22"/>
      <c r="M305" s="22"/>
      <c r="N305" s="22"/>
      <c r="O305" s="20" t="s">
        <v>15</v>
      </c>
      <c r="P305" s="25" t="s">
        <v>16</v>
      </c>
      <c r="Q305" s="16">
        <v>2958465</v>
      </c>
    </row>
    <row r="306" spans="1:17">
      <c r="A306" s="11">
        <f t="shared" si="4"/>
        <v>305</v>
      </c>
      <c r="B306" s="11">
        <v>8010070234</v>
      </c>
      <c r="C306" s="25" t="s">
        <v>942</v>
      </c>
      <c r="D306" s="27">
        <v>193000</v>
      </c>
      <c r="E306" s="11">
        <v>0.43</v>
      </c>
      <c r="F306" s="11" t="s">
        <v>11</v>
      </c>
      <c r="G306" s="44">
        <v>82990</v>
      </c>
      <c r="H306" s="28">
        <v>74765.765765765755</v>
      </c>
      <c r="I306" s="19" t="s">
        <v>654</v>
      </c>
      <c r="J306" s="19" t="s">
        <v>655</v>
      </c>
      <c r="K306" s="32" t="s">
        <v>834</v>
      </c>
      <c r="L306" s="22"/>
      <c r="M306" s="22"/>
      <c r="N306" s="22"/>
      <c r="O306" s="20" t="s">
        <v>15</v>
      </c>
      <c r="P306" s="25" t="s">
        <v>16</v>
      </c>
      <c r="Q306" s="16">
        <v>2958465</v>
      </c>
    </row>
    <row r="307" spans="1:17">
      <c r="A307" s="11">
        <f t="shared" si="4"/>
        <v>306</v>
      </c>
      <c r="B307" s="11">
        <v>8010070235</v>
      </c>
      <c r="C307" s="25" t="s">
        <v>915</v>
      </c>
      <c r="D307" s="27">
        <v>207900</v>
      </c>
      <c r="E307" s="11">
        <v>0.43</v>
      </c>
      <c r="F307" s="11" t="s">
        <v>11</v>
      </c>
      <c r="G307" s="44">
        <v>89397</v>
      </c>
      <c r="H307" s="28">
        <v>80537.837837837826</v>
      </c>
      <c r="I307" s="19" t="s">
        <v>654</v>
      </c>
      <c r="J307" s="19" t="s">
        <v>655</v>
      </c>
      <c r="K307" s="32" t="s">
        <v>834</v>
      </c>
      <c r="L307" s="22"/>
      <c r="M307" s="22"/>
      <c r="N307" s="22"/>
      <c r="O307" s="20" t="s">
        <v>15</v>
      </c>
      <c r="P307" s="25" t="s">
        <v>16</v>
      </c>
      <c r="Q307" s="16">
        <v>2958465</v>
      </c>
    </row>
    <row r="308" spans="1:17">
      <c r="A308" s="11">
        <f t="shared" si="4"/>
        <v>307</v>
      </c>
      <c r="B308" s="11">
        <v>8010070236</v>
      </c>
      <c r="C308" s="25" t="s">
        <v>916</v>
      </c>
      <c r="D308" s="27">
        <v>246500</v>
      </c>
      <c r="E308" s="11">
        <v>0.43</v>
      </c>
      <c r="F308" s="11" t="s">
        <v>11</v>
      </c>
      <c r="G308" s="44">
        <v>100694.76000000001</v>
      </c>
      <c r="H308" s="28">
        <v>90716</v>
      </c>
      <c r="I308" s="19" t="s">
        <v>654</v>
      </c>
      <c r="J308" s="19" t="s">
        <v>655</v>
      </c>
      <c r="K308" s="32" t="s">
        <v>834</v>
      </c>
      <c r="L308" s="22"/>
      <c r="M308" s="22"/>
      <c r="N308" s="22"/>
      <c r="O308" s="20" t="s">
        <v>15</v>
      </c>
      <c r="P308" s="25" t="s">
        <v>16</v>
      </c>
      <c r="Q308" s="16">
        <v>2958465</v>
      </c>
    </row>
    <row r="309" spans="1:17">
      <c r="A309" s="11">
        <f t="shared" si="4"/>
        <v>308</v>
      </c>
      <c r="B309" s="11">
        <v>8010070237</v>
      </c>
      <c r="C309" s="25" t="s">
        <v>917</v>
      </c>
      <c r="D309" s="27">
        <v>341500</v>
      </c>
      <c r="E309" s="11">
        <v>0.43</v>
      </c>
      <c r="F309" s="11" t="s">
        <v>11</v>
      </c>
      <c r="G309" s="44">
        <v>139502.58000000002</v>
      </c>
      <c r="H309" s="28">
        <v>125678</v>
      </c>
      <c r="I309" s="19" t="s">
        <v>654</v>
      </c>
      <c r="J309" s="19" t="s">
        <v>655</v>
      </c>
      <c r="K309" s="32" t="s">
        <v>834</v>
      </c>
      <c r="L309" s="22"/>
      <c r="M309" s="22"/>
      <c r="N309" s="22"/>
      <c r="O309" s="20" t="s">
        <v>15</v>
      </c>
      <c r="P309" s="25" t="s">
        <v>16</v>
      </c>
      <c r="Q309" s="16">
        <v>2958465</v>
      </c>
    </row>
    <row r="310" spans="1:17">
      <c r="A310" s="11">
        <f t="shared" si="4"/>
        <v>309</v>
      </c>
      <c r="B310" s="11">
        <v>8010070238</v>
      </c>
      <c r="C310" s="25" t="s">
        <v>918</v>
      </c>
      <c r="D310" s="27">
        <v>433500</v>
      </c>
      <c r="E310" s="11">
        <v>0.43</v>
      </c>
      <c r="F310" s="11" t="s">
        <v>11</v>
      </c>
      <c r="G310" s="44">
        <v>177084.96000000002</v>
      </c>
      <c r="H310" s="28">
        <v>159536</v>
      </c>
      <c r="I310" s="19" t="s">
        <v>654</v>
      </c>
      <c r="J310" s="19" t="s">
        <v>655</v>
      </c>
      <c r="K310" s="32" t="s">
        <v>834</v>
      </c>
      <c r="L310" s="22"/>
      <c r="M310" s="22"/>
      <c r="N310" s="22"/>
      <c r="O310" s="20" t="s">
        <v>15</v>
      </c>
      <c r="P310" s="25" t="s">
        <v>16</v>
      </c>
      <c r="Q310" s="16">
        <v>2958465</v>
      </c>
    </row>
    <row r="311" spans="1:17">
      <c r="A311" s="11">
        <f t="shared" si="4"/>
        <v>310</v>
      </c>
      <c r="B311" s="11">
        <v>8010070525</v>
      </c>
      <c r="C311" s="25" t="s">
        <v>681</v>
      </c>
      <c r="D311" s="27">
        <v>110800</v>
      </c>
      <c r="E311" s="11">
        <v>0.51</v>
      </c>
      <c r="F311" s="11" t="s">
        <v>11</v>
      </c>
      <c r="G311" s="44">
        <v>56508</v>
      </c>
      <c r="H311" s="28">
        <v>50908.108108108107</v>
      </c>
      <c r="I311" s="19" t="s">
        <v>654</v>
      </c>
      <c r="J311" s="19" t="s">
        <v>655</v>
      </c>
      <c r="K311" s="32" t="s">
        <v>656</v>
      </c>
      <c r="L311" s="22"/>
      <c r="M311" s="22"/>
      <c r="N311" s="22"/>
      <c r="O311" s="20" t="s">
        <v>15</v>
      </c>
      <c r="P311" s="25" t="s">
        <v>16</v>
      </c>
      <c r="Q311" s="16">
        <v>2958465</v>
      </c>
    </row>
    <row r="312" spans="1:17">
      <c r="A312" s="11">
        <f t="shared" si="4"/>
        <v>311</v>
      </c>
      <c r="B312" s="11">
        <v>8010070552</v>
      </c>
      <c r="C312" s="25" t="s">
        <v>670</v>
      </c>
      <c r="D312" s="27">
        <v>106400</v>
      </c>
      <c r="E312" s="11">
        <v>0.51</v>
      </c>
      <c r="F312" s="11" t="s">
        <v>11</v>
      </c>
      <c r="G312" s="44">
        <v>54264</v>
      </c>
      <c r="H312" s="28">
        <v>48886.486486486479</v>
      </c>
      <c r="I312" s="19" t="s">
        <v>654</v>
      </c>
      <c r="J312" s="19" t="s">
        <v>655</v>
      </c>
      <c r="K312" s="32" t="s">
        <v>656</v>
      </c>
      <c r="L312" s="22"/>
      <c r="M312" s="22"/>
      <c r="N312" s="22"/>
      <c r="O312" s="20" t="s">
        <v>15</v>
      </c>
      <c r="P312" s="25" t="s">
        <v>16</v>
      </c>
      <c r="Q312" s="16">
        <v>2958465</v>
      </c>
    </row>
    <row r="313" spans="1:17">
      <c r="A313" s="11">
        <f t="shared" si="4"/>
        <v>312</v>
      </c>
      <c r="B313" s="11">
        <v>8010070614</v>
      </c>
      <c r="C313" s="25" t="s">
        <v>680</v>
      </c>
      <c r="D313" s="27">
        <v>554400</v>
      </c>
      <c r="E313" s="11">
        <v>0.51</v>
      </c>
      <c r="F313" s="11" t="s">
        <v>11</v>
      </c>
      <c r="G313" s="44">
        <v>282744</v>
      </c>
      <c r="H313" s="28">
        <v>254724.32432432429</v>
      </c>
      <c r="I313" s="19" t="s">
        <v>654</v>
      </c>
      <c r="J313" s="19" t="s">
        <v>655</v>
      </c>
      <c r="K313" s="32" t="s">
        <v>656</v>
      </c>
      <c r="L313" s="22"/>
      <c r="M313" s="22"/>
      <c r="N313" s="22"/>
      <c r="O313" s="20" t="s">
        <v>15</v>
      </c>
      <c r="P313" s="25" t="s">
        <v>16</v>
      </c>
      <c r="Q313" s="16">
        <v>2958465</v>
      </c>
    </row>
    <row r="314" spans="1:17">
      <c r="A314" s="11">
        <f t="shared" si="4"/>
        <v>313</v>
      </c>
      <c r="B314" s="11">
        <v>8010070745</v>
      </c>
      <c r="C314" s="25" t="s">
        <v>682</v>
      </c>
      <c r="D314" s="27">
        <v>667900</v>
      </c>
      <c r="E314" s="11">
        <v>0.51</v>
      </c>
      <c r="F314" s="11" t="s">
        <v>11</v>
      </c>
      <c r="G314" s="44">
        <v>340629</v>
      </c>
      <c r="H314" s="28">
        <v>306872.97297297296</v>
      </c>
      <c r="I314" s="19" t="s">
        <v>654</v>
      </c>
      <c r="J314" s="19" t="s">
        <v>655</v>
      </c>
      <c r="K314" s="32" t="s">
        <v>656</v>
      </c>
      <c r="L314" s="22"/>
      <c r="M314" s="22"/>
      <c r="N314" s="22"/>
      <c r="O314" s="20" t="s">
        <v>15</v>
      </c>
      <c r="P314" s="25" t="s">
        <v>16</v>
      </c>
      <c r="Q314" s="16">
        <v>2958465</v>
      </c>
    </row>
    <row r="315" spans="1:17">
      <c r="A315" s="11">
        <f t="shared" si="4"/>
        <v>314</v>
      </c>
      <c r="B315" s="11">
        <v>8010070747</v>
      </c>
      <c r="C315" s="25" t="s">
        <v>919</v>
      </c>
      <c r="D315" s="27">
        <v>16900</v>
      </c>
      <c r="E315" s="11">
        <v>0.43</v>
      </c>
      <c r="F315" s="11" t="s">
        <v>11</v>
      </c>
      <c r="G315" s="44">
        <v>7267</v>
      </c>
      <c r="H315" s="28">
        <v>6546.8468468468463</v>
      </c>
      <c r="I315" s="19" t="s">
        <v>654</v>
      </c>
      <c r="J315" s="19" t="s">
        <v>655</v>
      </c>
      <c r="K315" s="32" t="s">
        <v>834</v>
      </c>
      <c r="L315" s="22"/>
      <c r="M315" s="22"/>
      <c r="N315" s="22"/>
      <c r="O315" s="20" t="s">
        <v>15</v>
      </c>
      <c r="P315" s="25" t="s">
        <v>16</v>
      </c>
      <c r="Q315" s="16">
        <v>2958465</v>
      </c>
    </row>
    <row r="316" spans="1:17">
      <c r="A316" s="11">
        <f t="shared" si="4"/>
        <v>315</v>
      </c>
      <c r="B316" s="11">
        <v>8010070748</v>
      </c>
      <c r="C316" s="25" t="s">
        <v>920</v>
      </c>
      <c r="D316" s="27">
        <v>29700</v>
      </c>
      <c r="E316" s="11">
        <v>0.43</v>
      </c>
      <c r="F316" s="11" t="s">
        <v>11</v>
      </c>
      <c r="G316" s="44">
        <v>12771</v>
      </c>
      <c r="H316" s="28">
        <v>11505.405405405405</v>
      </c>
      <c r="I316" s="19" t="s">
        <v>654</v>
      </c>
      <c r="J316" s="19" t="s">
        <v>655</v>
      </c>
      <c r="K316" s="32" t="s">
        <v>834</v>
      </c>
      <c r="L316" s="22"/>
      <c r="M316" s="22"/>
      <c r="N316" s="22"/>
      <c r="O316" s="20" t="s">
        <v>15</v>
      </c>
      <c r="P316" s="25" t="s">
        <v>16</v>
      </c>
      <c r="Q316" s="16">
        <v>2958465</v>
      </c>
    </row>
    <row r="317" spans="1:17">
      <c r="A317" s="11">
        <f t="shared" si="4"/>
        <v>316</v>
      </c>
      <c r="B317" s="11">
        <v>8010070749</v>
      </c>
      <c r="C317" s="25" t="s">
        <v>921</v>
      </c>
      <c r="D317" s="27">
        <v>4200</v>
      </c>
      <c r="E317" s="11">
        <v>0.43</v>
      </c>
      <c r="F317" s="11" t="s">
        <v>11</v>
      </c>
      <c r="G317" s="44">
        <v>1806</v>
      </c>
      <c r="H317" s="28">
        <v>1627.0270270270269</v>
      </c>
      <c r="I317" s="19" t="s">
        <v>654</v>
      </c>
      <c r="J317" s="19" t="s">
        <v>655</v>
      </c>
      <c r="K317" s="32" t="s">
        <v>834</v>
      </c>
      <c r="L317" s="22"/>
      <c r="M317" s="22"/>
      <c r="N317" s="22"/>
      <c r="O317" s="20" t="s">
        <v>15</v>
      </c>
      <c r="P317" s="25" t="s">
        <v>16</v>
      </c>
      <c r="Q317" s="16">
        <v>2958465</v>
      </c>
    </row>
    <row r="318" spans="1:17">
      <c r="A318" s="11">
        <f t="shared" si="4"/>
        <v>317</v>
      </c>
      <c r="B318" s="11">
        <v>8010070750</v>
      </c>
      <c r="C318" s="25" t="s">
        <v>922</v>
      </c>
      <c r="D318" s="27">
        <v>7900</v>
      </c>
      <c r="E318" s="11">
        <v>0.43</v>
      </c>
      <c r="F318" s="11" t="s">
        <v>11</v>
      </c>
      <c r="G318" s="44">
        <v>3397</v>
      </c>
      <c r="H318" s="28">
        <v>3060.3603603603601</v>
      </c>
      <c r="I318" s="19" t="s">
        <v>654</v>
      </c>
      <c r="J318" s="19" t="s">
        <v>655</v>
      </c>
      <c r="K318" s="32" t="s">
        <v>834</v>
      </c>
      <c r="L318" s="22"/>
      <c r="M318" s="22"/>
      <c r="N318" s="22"/>
      <c r="O318" s="20" t="s">
        <v>15</v>
      </c>
      <c r="P318" s="25" t="s">
        <v>16</v>
      </c>
      <c r="Q318" s="16">
        <v>2958465</v>
      </c>
    </row>
    <row r="319" spans="1:17">
      <c r="A319" s="11">
        <f t="shared" si="4"/>
        <v>318</v>
      </c>
      <c r="B319" s="11">
        <v>8010070751</v>
      </c>
      <c r="C319" s="25" t="s">
        <v>923</v>
      </c>
      <c r="D319" s="27">
        <v>8400</v>
      </c>
      <c r="E319" s="11">
        <v>0.43</v>
      </c>
      <c r="F319" s="11" t="s">
        <v>11</v>
      </c>
      <c r="G319" s="44">
        <v>3612</v>
      </c>
      <c r="H319" s="28">
        <v>3254.0540540540537</v>
      </c>
      <c r="I319" s="19" t="s">
        <v>654</v>
      </c>
      <c r="J319" s="19" t="s">
        <v>655</v>
      </c>
      <c r="K319" s="32" t="s">
        <v>834</v>
      </c>
      <c r="L319" s="22"/>
      <c r="M319" s="22"/>
      <c r="N319" s="22"/>
      <c r="O319" s="20" t="s">
        <v>15</v>
      </c>
      <c r="P319" s="25" t="s">
        <v>16</v>
      </c>
      <c r="Q319" s="16">
        <v>2958465</v>
      </c>
    </row>
    <row r="320" spans="1:17">
      <c r="A320" s="11">
        <f t="shared" si="4"/>
        <v>319</v>
      </c>
      <c r="B320" s="11">
        <v>8010070752</v>
      </c>
      <c r="C320" s="25" t="s">
        <v>936</v>
      </c>
      <c r="D320" s="27">
        <v>12500</v>
      </c>
      <c r="E320" s="11">
        <v>0.43</v>
      </c>
      <c r="F320" s="11" t="s">
        <v>11</v>
      </c>
      <c r="G320" s="44">
        <v>5375</v>
      </c>
      <c r="H320" s="28">
        <v>4842.3423423423419</v>
      </c>
      <c r="I320" s="19" t="s">
        <v>654</v>
      </c>
      <c r="J320" s="19" t="s">
        <v>655</v>
      </c>
      <c r="K320" s="32" t="s">
        <v>834</v>
      </c>
      <c r="L320" s="22"/>
      <c r="M320" s="22"/>
      <c r="N320" s="22"/>
      <c r="O320" s="20" t="s">
        <v>15</v>
      </c>
      <c r="P320" s="25" t="s">
        <v>16</v>
      </c>
      <c r="Q320" s="16">
        <v>2958465</v>
      </c>
    </row>
    <row r="321" spans="1:17">
      <c r="A321" s="11">
        <f t="shared" si="4"/>
        <v>320</v>
      </c>
      <c r="B321" s="11">
        <v>8010070753</v>
      </c>
      <c r="C321" s="25" t="s">
        <v>937</v>
      </c>
      <c r="D321" s="27">
        <v>14900</v>
      </c>
      <c r="E321" s="11">
        <v>0.43</v>
      </c>
      <c r="F321" s="11" t="s">
        <v>11</v>
      </c>
      <c r="G321" s="44">
        <v>6407</v>
      </c>
      <c r="H321" s="28">
        <v>5772.0720720720719</v>
      </c>
      <c r="I321" s="19" t="s">
        <v>654</v>
      </c>
      <c r="J321" s="19" t="s">
        <v>655</v>
      </c>
      <c r="K321" s="32" t="s">
        <v>834</v>
      </c>
      <c r="L321" s="22"/>
      <c r="M321" s="22"/>
      <c r="N321" s="22"/>
      <c r="O321" s="20" t="s">
        <v>15</v>
      </c>
      <c r="P321" s="25" t="s">
        <v>16</v>
      </c>
      <c r="Q321" s="16">
        <v>2958465</v>
      </c>
    </row>
    <row r="322" spans="1:17">
      <c r="A322" s="11">
        <f t="shared" si="4"/>
        <v>321</v>
      </c>
      <c r="B322" s="11">
        <v>8010070922</v>
      </c>
      <c r="C322" s="25" t="s">
        <v>938</v>
      </c>
      <c r="D322" s="27">
        <v>1840700</v>
      </c>
      <c r="E322" s="11">
        <v>0.43</v>
      </c>
      <c r="F322" s="11" t="s">
        <v>11</v>
      </c>
      <c r="G322" s="44">
        <v>791501</v>
      </c>
      <c r="H322" s="28">
        <v>713063.96396396391</v>
      </c>
      <c r="I322" s="19" t="s">
        <v>654</v>
      </c>
      <c r="J322" s="19" t="s">
        <v>655</v>
      </c>
      <c r="K322" s="32" t="s">
        <v>834</v>
      </c>
      <c r="L322" s="22"/>
      <c r="M322" s="22"/>
      <c r="N322" s="22"/>
      <c r="O322" s="20" t="s">
        <v>15</v>
      </c>
      <c r="P322" s="25" t="s">
        <v>16</v>
      </c>
      <c r="Q322" s="16">
        <v>2958465</v>
      </c>
    </row>
    <row r="323" spans="1:17">
      <c r="A323" s="11">
        <f t="shared" si="4"/>
        <v>322</v>
      </c>
      <c r="B323" s="11">
        <v>8010070923</v>
      </c>
      <c r="C323" s="25" t="s">
        <v>939</v>
      </c>
      <c r="D323" s="27">
        <v>3562500</v>
      </c>
      <c r="E323" s="11">
        <v>0.43</v>
      </c>
      <c r="F323" s="11" t="s">
        <v>11</v>
      </c>
      <c r="G323" s="44">
        <v>1531875</v>
      </c>
      <c r="H323" s="28">
        <v>1380067.5675675673</v>
      </c>
      <c r="I323" s="19" t="s">
        <v>654</v>
      </c>
      <c r="J323" s="19" t="s">
        <v>655</v>
      </c>
      <c r="K323" s="32" t="s">
        <v>834</v>
      </c>
      <c r="L323" s="22"/>
      <c r="M323" s="22"/>
      <c r="N323" s="22"/>
      <c r="O323" s="20" t="s">
        <v>15</v>
      </c>
      <c r="P323" s="25" t="s">
        <v>16</v>
      </c>
      <c r="Q323" s="16">
        <v>2958465</v>
      </c>
    </row>
    <row r="324" spans="1:17">
      <c r="A324" s="11">
        <f t="shared" si="4"/>
        <v>323</v>
      </c>
      <c r="B324" s="11">
        <v>8010070924</v>
      </c>
      <c r="C324" s="25" t="s">
        <v>940</v>
      </c>
      <c r="D324" s="27">
        <v>6531250</v>
      </c>
      <c r="E324" s="11">
        <v>0.43</v>
      </c>
      <c r="F324" s="11" t="s">
        <v>11</v>
      </c>
      <c r="G324" s="44">
        <v>2808438</v>
      </c>
      <c r="H324" s="28">
        <v>2530124.3243243243</v>
      </c>
      <c r="I324" s="19" t="s">
        <v>654</v>
      </c>
      <c r="J324" s="19" t="s">
        <v>655</v>
      </c>
      <c r="K324" s="32" t="s">
        <v>834</v>
      </c>
      <c r="L324" s="22"/>
      <c r="M324" s="22"/>
      <c r="N324" s="22"/>
      <c r="O324" s="20" t="s">
        <v>15</v>
      </c>
      <c r="P324" s="25" t="s">
        <v>16</v>
      </c>
      <c r="Q324" s="16">
        <v>2958465</v>
      </c>
    </row>
    <row r="325" spans="1:17">
      <c r="A325" s="11">
        <f t="shared" ref="A325:A388" si="5">ROW()-1</f>
        <v>324</v>
      </c>
      <c r="B325" s="11">
        <v>8010070966</v>
      </c>
      <c r="C325" s="25" t="s">
        <v>941</v>
      </c>
      <c r="D325" s="27">
        <v>240500</v>
      </c>
      <c r="E325" s="11">
        <v>0.43</v>
      </c>
      <c r="F325" s="11" t="s">
        <v>11</v>
      </c>
      <c r="G325" s="44">
        <v>103415</v>
      </c>
      <c r="H325" s="28">
        <v>93166.666666666657</v>
      </c>
      <c r="I325" s="19" t="s">
        <v>654</v>
      </c>
      <c r="J325" s="19" t="s">
        <v>655</v>
      </c>
      <c r="K325" s="32" t="s">
        <v>834</v>
      </c>
      <c r="L325" s="22"/>
      <c r="M325" s="22"/>
      <c r="N325" s="22"/>
      <c r="O325" s="20" t="s">
        <v>15</v>
      </c>
      <c r="P325" s="25" t="s">
        <v>16</v>
      </c>
      <c r="Q325" s="16">
        <v>2958465</v>
      </c>
    </row>
    <row r="326" spans="1:17">
      <c r="A326" s="11">
        <f t="shared" si="5"/>
        <v>325</v>
      </c>
      <c r="B326" s="11">
        <v>8010071230</v>
      </c>
      <c r="C326" s="25" t="s">
        <v>683</v>
      </c>
      <c r="D326" s="27">
        <v>480000</v>
      </c>
      <c r="E326" s="11">
        <v>0.51</v>
      </c>
      <c r="F326" s="11" t="s">
        <v>11</v>
      </c>
      <c r="G326" s="44">
        <v>244800</v>
      </c>
      <c r="H326" s="28">
        <v>220540.54054054053</v>
      </c>
      <c r="I326" s="19" t="s">
        <v>654</v>
      </c>
      <c r="J326" s="19" t="s">
        <v>655</v>
      </c>
      <c r="K326" s="32" t="s">
        <v>656</v>
      </c>
      <c r="L326" s="22"/>
      <c r="M326" s="22"/>
      <c r="N326" s="22"/>
      <c r="O326" s="20" t="s">
        <v>15</v>
      </c>
      <c r="P326" s="25" t="s">
        <v>16</v>
      </c>
      <c r="Q326" s="16">
        <v>2958465</v>
      </c>
    </row>
    <row r="327" spans="1:17">
      <c r="A327" s="11">
        <f t="shared" si="5"/>
        <v>326</v>
      </c>
      <c r="B327" s="11">
        <v>8010071286</v>
      </c>
      <c r="C327" s="25" t="s">
        <v>679</v>
      </c>
      <c r="D327" s="27">
        <v>729300</v>
      </c>
      <c r="E327" s="11">
        <v>0.51</v>
      </c>
      <c r="F327" s="11" t="s">
        <v>11</v>
      </c>
      <c r="G327" s="44">
        <v>371943</v>
      </c>
      <c r="H327" s="28">
        <v>335083.78378378373</v>
      </c>
      <c r="I327" s="19" t="s">
        <v>654</v>
      </c>
      <c r="J327" s="19" t="s">
        <v>655</v>
      </c>
      <c r="K327" s="32" t="s">
        <v>656</v>
      </c>
      <c r="L327" s="22"/>
      <c r="M327" s="22"/>
      <c r="N327" s="22"/>
      <c r="O327" s="20" t="s">
        <v>15</v>
      </c>
      <c r="P327" s="25" t="s">
        <v>16</v>
      </c>
      <c r="Q327" s="16">
        <v>2958465</v>
      </c>
    </row>
    <row r="328" spans="1:17">
      <c r="A328" s="11">
        <f t="shared" si="5"/>
        <v>327</v>
      </c>
      <c r="B328" s="11">
        <v>8010071287</v>
      </c>
      <c r="C328" s="25" t="s">
        <v>684</v>
      </c>
      <c r="D328" s="27">
        <v>726000</v>
      </c>
      <c r="E328" s="11">
        <v>0.51</v>
      </c>
      <c r="F328" s="11" t="s">
        <v>11</v>
      </c>
      <c r="G328" s="44">
        <v>370260</v>
      </c>
      <c r="H328" s="28">
        <v>333567.56756756752</v>
      </c>
      <c r="I328" s="19" t="s">
        <v>654</v>
      </c>
      <c r="J328" s="19" t="s">
        <v>655</v>
      </c>
      <c r="K328" s="32" t="s">
        <v>656</v>
      </c>
      <c r="L328" s="22"/>
      <c r="M328" s="22"/>
      <c r="N328" s="22"/>
      <c r="O328" s="20" t="s">
        <v>15</v>
      </c>
      <c r="P328" s="25" t="s">
        <v>16</v>
      </c>
      <c r="Q328" s="16">
        <v>2958465</v>
      </c>
    </row>
    <row r="329" spans="1:17">
      <c r="A329" s="11">
        <f t="shared" si="5"/>
        <v>328</v>
      </c>
      <c r="B329" s="11">
        <v>8010071288</v>
      </c>
      <c r="C329" s="25" t="s">
        <v>671</v>
      </c>
      <c r="D329" s="27">
        <v>480400</v>
      </c>
      <c r="E329" s="11">
        <v>0.51</v>
      </c>
      <c r="F329" s="11" t="s">
        <v>11</v>
      </c>
      <c r="G329" s="44">
        <v>245004</v>
      </c>
      <c r="H329" s="28">
        <v>220724.32432432429</v>
      </c>
      <c r="I329" s="19" t="s">
        <v>654</v>
      </c>
      <c r="J329" s="19" t="s">
        <v>655</v>
      </c>
      <c r="K329" s="32" t="s">
        <v>656</v>
      </c>
      <c r="L329" s="22"/>
      <c r="M329" s="22"/>
      <c r="N329" s="22"/>
      <c r="O329" s="20" t="s">
        <v>15</v>
      </c>
      <c r="P329" s="25" t="s">
        <v>16</v>
      </c>
      <c r="Q329" s="16">
        <v>2958465</v>
      </c>
    </row>
    <row r="330" spans="1:17">
      <c r="A330" s="11">
        <f t="shared" si="5"/>
        <v>329</v>
      </c>
      <c r="B330" s="11">
        <v>8010071289</v>
      </c>
      <c r="C330" s="25" t="s">
        <v>685</v>
      </c>
      <c r="D330" s="27">
        <v>594000</v>
      </c>
      <c r="E330" s="11">
        <v>0.51</v>
      </c>
      <c r="F330" s="11" t="s">
        <v>11</v>
      </c>
      <c r="G330" s="44">
        <v>302940</v>
      </c>
      <c r="H330" s="28">
        <v>272918.91891891888</v>
      </c>
      <c r="I330" s="19" t="s">
        <v>654</v>
      </c>
      <c r="J330" s="19" t="s">
        <v>655</v>
      </c>
      <c r="K330" s="32" t="s">
        <v>656</v>
      </c>
      <c r="L330" s="22"/>
      <c r="M330" s="22"/>
      <c r="N330" s="22"/>
      <c r="O330" s="20" t="s">
        <v>15</v>
      </c>
      <c r="P330" s="25" t="s">
        <v>16</v>
      </c>
      <c r="Q330" s="16">
        <v>2958465</v>
      </c>
    </row>
    <row r="331" spans="1:17">
      <c r="A331" s="11">
        <f t="shared" si="5"/>
        <v>330</v>
      </c>
      <c r="B331" s="11">
        <v>8010071331</v>
      </c>
      <c r="C331" s="25" t="s">
        <v>924</v>
      </c>
      <c r="D331" s="27">
        <v>14900</v>
      </c>
      <c r="E331" s="11">
        <v>0.43</v>
      </c>
      <c r="F331" s="11" t="s">
        <v>11</v>
      </c>
      <c r="G331" s="44">
        <v>6407</v>
      </c>
      <c r="H331" s="28">
        <v>5772.0720720720719</v>
      </c>
      <c r="I331" s="19" t="s">
        <v>654</v>
      </c>
      <c r="J331" s="19" t="s">
        <v>655</v>
      </c>
      <c r="K331" s="32" t="s">
        <v>834</v>
      </c>
      <c r="L331" s="22"/>
      <c r="M331" s="22"/>
      <c r="N331" s="22"/>
      <c r="O331" s="20" t="s">
        <v>15</v>
      </c>
      <c r="P331" s="25" t="s">
        <v>16</v>
      </c>
      <c r="Q331" s="16">
        <v>2958465</v>
      </c>
    </row>
    <row r="332" spans="1:17">
      <c r="A332" s="11">
        <f t="shared" si="5"/>
        <v>331</v>
      </c>
      <c r="B332" s="11">
        <v>8010071332</v>
      </c>
      <c r="C332" s="25" t="s">
        <v>925</v>
      </c>
      <c r="D332" s="27">
        <v>21700</v>
      </c>
      <c r="E332" s="11">
        <v>0.43</v>
      </c>
      <c r="F332" s="11" t="s">
        <v>11</v>
      </c>
      <c r="G332" s="44">
        <v>9331</v>
      </c>
      <c r="H332" s="28">
        <v>8406.3063063063055</v>
      </c>
      <c r="I332" s="19" t="s">
        <v>654</v>
      </c>
      <c r="J332" s="19" t="s">
        <v>655</v>
      </c>
      <c r="K332" s="32" t="s">
        <v>834</v>
      </c>
      <c r="L332" s="22"/>
      <c r="M332" s="22"/>
      <c r="N332" s="22"/>
      <c r="O332" s="20" t="s">
        <v>15</v>
      </c>
      <c r="P332" s="25" t="s">
        <v>16</v>
      </c>
      <c r="Q332" s="16">
        <v>2958465</v>
      </c>
    </row>
    <row r="333" spans="1:17">
      <c r="A333" s="11">
        <f t="shared" si="5"/>
        <v>332</v>
      </c>
      <c r="B333" s="11">
        <v>8010071333</v>
      </c>
      <c r="C333" s="25" t="s">
        <v>926</v>
      </c>
      <c r="D333" s="27">
        <v>44000</v>
      </c>
      <c r="E333" s="11">
        <v>0.43</v>
      </c>
      <c r="F333" s="11" t="s">
        <v>11</v>
      </c>
      <c r="G333" s="44">
        <v>18920</v>
      </c>
      <c r="H333" s="28">
        <v>17045.045045045044</v>
      </c>
      <c r="I333" s="19" t="s">
        <v>654</v>
      </c>
      <c r="J333" s="19" t="s">
        <v>655</v>
      </c>
      <c r="K333" s="32" t="s">
        <v>834</v>
      </c>
      <c r="L333" s="22"/>
      <c r="M333" s="22"/>
      <c r="N333" s="22"/>
      <c r="O333" s="20" t="s">
        <v>15</v>
      </c>
      <c r="P333" s="25" t="s">
        <v>16</v>
      </c>
      <c r="Q333" s="16">
        <v>2958465</v>
      </c>
    </row>
    <row r="334" spans="1:17">
      <c r="A334" s="11">
        <f t="shared" si="5"/>
        <v>333</v>
      </c>
      <c r="B334" s="11">
        <v>8010071334</v>
      </c>
      <c r="C334" s="25" t="s">
        <v>928</v>
      </c>
      <c r="D334" s="27">
        <v>83200</v>
      </c>
      <c r="E334" s="11">
        <v>0.43</v>
      </c>
      <c r="F334" s="11" t="s">
        <v>11</v>
      </c>
      <c r="G334" s="44">
        <v>35776</v>
      </c>
      <c r="H334" s="28">
        <v>32230.630630630629</v>
      </c>
      <c r="I334" s="19" t="s">
        <v>654</v>
      </c>
      <c r="J334" s="19" t="s">
        <v>655</v>
      </c>
      <c r="K334" s="32" t="s">
        <v>834</v>
      </c>
      <c r="L334" s="22"/>
      <c r="M334" s="22"/>
      <c r="N334" s="22"/>
      <c r="O334" s="20" t="s">
        <v>15</v>
      </c>
      <c r="P334" s="25" t="s">
        <v>16</v>
      </c>
      <c r="Q334" s="16">
        <v>2958465</v>
      </c>
    </row>
    <row r="335" spans="1:17">
      <c r="A335" s="11">
        <f t="shared" si="5"/>
        <v>334</v>
      </c>
      <c r="B335" s="11">
        <v>8010071335</v>
      </c>
      <c r="C335" s="25" t="s">
        <v>927</v>
      </c>
      <c r="D335" s="27">
        <v>133600</v>
      </c>
      <c r="E335" s="11">
        <v>0.43</v>
      </c>
      <c r="F335" s="11" t="s">
        <v>11</v>
      </c>
      <c r="G335" s="44">
        <v>57448</v>
      </c>
      <c r="H335" s="28">
        <v>51754.954954954948</v>
      </c>
      <c r="I335" s="19" t="s">
        <v>654</v>
      </c>
      <c r="J335" s="19" t="s">
        <v>655</v>
      </c>
      <c r="K335" s="32" t="s">
        <v>834</v>
      </c>
      <c r="L335" s="22"/>
      <c r="M335" s="22"/>
      <c r="N335" s="22"/>
      <c r="O335" s="20" t="s">
        <v>15</v>
      </c>
      <c r="P335" s="25" t="s">
        <v>16</v>
      </c>
      <c r="Q335" s="16">
        <v>2958465</v>
      </c>
    </row>
    <row r="336" spans="1:17">
      <c r="A336" s="11">
        <f t="shared" si="5"/>
        <v>335</v>
      </c>
      <c r="B336" s="11">
        <v>8010071336</v>
      </c>
      <c r="C336" s="25" t="s">
        <v>944</v>
      </c>
      <c r="D336" s="27">
        <v>478000</v>
      </c>
      <c r="E336" s="11">
        <v>0.43</v>
      </c>
      <c r="F336" s="11" t="s">
        <v>11</v>
      </c>
      <c r="G336" s="44">
        <v>205540</v>
      </c>
      <c r="H336" s="28">
        <v>185171.17117117115</v>
      </c>
      <c r="I336" s="19" t="s">
        <v>654</v>
      </c>
      <c r="J336" s="19" t="s">
        <v>655</v>
      </c>
      <c r="K336" s="32" t="s">
        <v>834</v>
      </c>
      <c r="L336" s="22"/>
      <c r="M336" s="22"/>
      <c r="N336" s="22"/>
      <c r="O336" s="20" t="s">
        <v>15</v>
      </c>
      <c r="P336" s="25" t="s">
        <v>16</v>
      </c>
      <c r="Q336" s="16">
        <v>2958465</v>
      </c>
    </row>
    <row r="337" spans="1:17">
      <c r="A337" s="11">
        <f t="shared" si="5"/>
        <v>336</v>
      </c>
      <c r="B337" s="11">
        <v>8010071337</v>
      </c>
      <c r="C337" s="25" t="s">
        <v>686</v>
      </c>
      <c r="D337" s="27">
        <v>16700</v>
      </c>
      <c r="E337" s="11">
        <v>0.51</v>
      </c>
      <c r="F337" s="11" t="s">
        <v>11</v>
      </c>
      <c r="G337" s="44">
        <v>8517</v>
      </c>
      <c r="H337" s="28">
        <v>7672.9729729729725</v>
      </c>
      <c r="I337" s="19" t="s">
        <v>654</v>
      </c>
      <c r="J337" s="19" t="s">
        <v>655</v>
      </c>
      <c r="K337" s="32" t="s">
        <v>656</v>
      </c>
      <c r="L337" s="22"/>
      <c r="M337" s="22"/>
      <c r="N337" s="22"/>
      <c r="O337" s="20" t="s">
        <v>15</v>
      </c>
      <c r="P337" s="25" t="s">
        <v>16</v>
      </c>
      <c r="Q337" s="16">
        <v>2958465</v>
      </c>
    </row>
    <row r="338" spans="1:17">
      <c r="A338" s="11">
        <f t="shared" si="5"/>
        <v>337</v>
      </c>
      <c r="B338" s="11">
        <v>8010071338</v>
      </c>
      <c r="C338" s="25" t="s">
        <v>929</v>
      </c>
      <c r="D338" s="27">
        <v>4900</v>
      </c>
      <c r="E338" s="11">
        <v>0.43</v>
      </c>
      <c r="F338" s="11" t="s">
        <v>11</v>
      </c>
      <c r="G338" s="44">
        <v>2107</v>
      </c>
      <c r="H338" s="28">
        <v>1898.198198198198</v>
      </c>
      <c r="I338" s="19" t="s">
        <v>654</v>
      </c>
      <c r="J338" s="19" t="s">
        <v>655</v>
      </c>
      <c r="K338" s="32" t="s">
        <v>834</v>
      </c>
      <c r="L338" s="22"/>
      <c r="M338" s="22"/>
      <c r="N338" s="22"/>
      <c r="O338" s="20" t="s">
        <v>15</v>
      </c>
      <c r="P338" s="25" t="s">
        <v>16</v>
      </c>
      <c r="Q338" s="16">
        <v>2958465</v>
      </c>
    </row>
    <row r="339" spans="1:17">
      <c r="A339" s="11">
        <f t="shared" si="5"/>
        <v>338</v>
      </c>
      <c r="B339" s="11">
        <v>8010071339</v>
      </c>
      <c r="C339" s="25" t="s">
        <v>945</v>
      </c>
      <c r="D339" s="27">
        <v>6700</v>
      </c>
      <c r="E339" s="11">
        <v>0.43</v>
      </c>
      <c r="F339" s="11" t="s">
        <v>11</v>
      </c>
      <c r="G339" s="44">
        <v>2881</v>
      </c>
      <c r="H339" s="28">
        <v>2595.4954954954951</v>
      </c>
      <c r="I339" s="19" t="s">
        <v>654</v>
      </c>
      <c r="J339" s="19" t="s">
        <v>655</v>
      </c>
      <c r="K339" s="32" t="s">
        <v>834</v>
      </c>
      <c r="L339" s="22"/>
      <c r="M339" s="22"/>
      <c r="N339" s="22"/>
      <c r="O339" s="20" t="s">
        <v>15</v>
      </c>
      <c r="P339" s="25" t="s">
        <v>16</v>
      </c>
      <c r="Q339" s="16">
        <v>2958465</v>
      </c>
    </row>
    <row r="340" spans="1:17">
      <c r="A340" s="11">
        <f t="shared" si="5"/>
        <v>339</v>
      </c>
      <c r="B340" s="11">
        <v>8010071340</v>
      </c>
      <c r="C340" s="25" t="s">
        <v>930</v>
      </c>
      <c r="D340" s="27">
        <v>12700</v>
      </c>
      <c r="E340" s="11">
        <v>0.43</v>
      </c>
      <c r="F340" s="11" t="s">
        <v>11</v>
      </c>
      <c r="G340" s="44">
        <v>5461</v>
      </c>
      <c r="H340" s="28">
        <v>4919.8198198198197</v>
      </c>
      <c r="I340" s="19" t="s">
        <v>654</v>
      </c>
      <c r="J340" s="19" t="s">
        <v>655</v>
      </c>
      <c r="K340" s="32" t="s">
        <v>834</v>
      </c>
      <c r="L340" s="22"/>
      <c r="M340" s="22"/>
      <c r="N340" s="22"/>
      <c r="O340" s="20" t="s">
        <v>15</v>
      </c>
      <c r="P340" s="25" t="s">
        <v>16</v>
      </c>
      <c r="Q340" s="16">
        <v>2958465</v>
      </c>
    </row>
    <row r="341" spans="1:17">
      <c r="A341" s="11">
        <f t="shared" si="5"/>
        <v>340</v>
      </c>
      <c r="B341" s="11">
        <v>8010071341</v>
      </c>
      <c r="C341" s="25" t="s">
        <v>935</v>
      </c>
      <c r="D341" s="27">
        <v>49900</v>
      </c>
      <c r="E341" s="11">
        <v>0.43</v>
      </c>
      <c r="F341" s="11" t="s">
        <v>11</v>
      </c>
      <c r="G341" s="44">
        <v>21457</v>
      </c>
      <c r="H341" s="28">
        <v>19330.630630630629</v>
      </c>
      <c r="I341" s="19" t="s">
        <v>654</v>
      </c>
      <c r="J341" s="19" t="s">
        <v>655</v>
      </c>
      <c r="K341" s="32" t="s">
        <v>834</v>
      </c>
      <c r="L341" s="22"/>
      <c r="M341" s="22"/>
      <c r="N341" s="22"/>
      <c r="O341" s="20" t="s">
        <v>15</v>
      </c>
      <c r="P341" s="25" t="s">
        <v>16</v>
      </c>
      <c r="Q341" s="16">
        <v>2958465</v>
      </c>
    </row>
    <row r="342" spans="1:17">
      <c r="A342" s="11">
        <f t="shared" si="5"/>
        <v>341</v>
      </c>
      <c r="B342" s="11">
        <v>8010071342</v>
      </c>
      <c r="C342" s="25" t="s">
        <v>672</v>
      </c>
      <c r="D342" s="27">
        <v>153200</v>
      </c>
      <c r="E342" s="11">
        <v>0.51</v>
      </c>
      <c r="F342" s="11" t="s">
        <v>11</v>
      </c>
      <c r="G342" s="44">
        <v>78132</v>
      </c>
      <c r="H342" s="28">
        <v>70389.189189189186</v>
      </c>
      <c r="I342" s="19" t="s">
        <v>654</v>
      </c>
      <c r="J342" s="19" t="s">
        <v>655</v>
      </c>
      <c r="K342" s="32" t="s">
        <v>656</v>
      </c>
      <c r="L342" s="22"/>
      <c r="M342" s="22"/>
      <c r="N342" s="22"/>
      <c r="O342" s="20" t="s">
        <v>15</v>
      </c>
      <c r="P342" s="25" t="s">
        <v>16</v>
      </c>
      <c r="Q342" s="16">
        <v>2958465</v>
      </c>
    </row>
    <row r="343" spans="1:17">
      <c r="A343" s="11">
        <f t="shared" si="5"/>
        <v>342</v>
      </c>
      <c r="B343" s="11">
        <v>8010071343</v>
      </c>
      <c r="C343" s="25" t="s">
        <v>673</v>
      </c>
      <c r="D343" s="27">
        <v>207700</v>
      </c>
      <c r="E343" s="11">
        <v>0.51</v>
      </c>
      <c r="F343" s="11" t="s">
        <v>11</v>
      </c>
      <c r="G343" s="44">
        <v>105927</v>
      </c>
      <c r="H343" s="28">
        <v>95429.729729729719</v>
      </c>
      <c r="I343" s="19" t="s">
        <v>654</v>
      </c>
      <c r="J343" s="19" t="s">
        <v>655</v>
      </c>
      <c r="K343" s="32" t="s">
        <v>656</v>
      </c>
      <c r="L343" s="22"/>
      <c r="M343" s="22"/>
      <c r="N343" s="22"/>
      <c r="O343" s="20" t="s">
        <v>15</v>
      </c>
      <c r="P343" s="25" t="s">
        <v>16</v>
      </c>
      <c r="Q343" s="16">
        <v>2958465</v>
      </c>
    </row>
    <row r="344" spans="1:17">
      <c r="A344" s="11">
        <f t="shared" si="5"/>
        <v>343</v>
      </c>
      <c r="B344" s="11">
        <v>8010071344</v>
      </c>
      <c r="C344" s="25" t="s">
        <v>674</v>
      </c>
      <c r="D344" s="27">
        <v>381600</v>
      </c>
      <c r="E344" s="11">
        <v>0.51</v>
      </c>
      <c r="F344" s="11" t="s">
        <v>11</v>
      </c>
      <c r="G344" s="44">
        <v>194616</v>
      </c>
      <c r="H344" s="28">
        <v>175329.7297297297</v>
      </c>
      <c r="I344" s="19" t="s">
        <v>654</v>
      </c>
      <c r="J344" s="19" t="s">
        <v>655</v>
      </c>
      <c r="K344" s="32" t="s">
        <v>656</v>
      </c>
      <c r="L344" s="22"/>
      <c r="M344" s="22"/>
      <c r="N344" s="22"/>
      <c r="O344" s="20" t="s">
        <v>15</v>
      </c>
      <c r="P344" s="25" t="s">
        <v>16</v>
      </c>
      <c r="Q344" s="16">
        <v>2958465</v>
      </c>
    </row>
    <row r="345" spans="1:17">
      <c r="A345" s="11">
        <f t="shared" si="5"/>
        <v>344</v>
      </c>
      <c r="B345" s="11">
        <v>8010071345</v>
      </c>
      <c r="C345" s="25" t="s">
        <v>668</v>
      </c>
      <c r="D345" s="27">
        <v>74100</v>
      </c>
      <c r="E345" s="11">
        <v>0.51</v>
      </c>
      <c r="F345" s="11" t="s">
        <v>11</v>
      </c>
      <c r="G345" s="44">
        <v>37791</v>
      </c>
      <c r="H345" s="28">
        <v>34045.945945945939</v>
      </c>
      <c r="I345" s="19" t="s">
        <v>654</v>
      </c>
      <c r="J345" s="19" t="s">
        <v>655</v>
      </c>
      <c r="K345" s="32" t="s">
        <v>656</v>
      </c>
      <c r="L345" s="22"/>
      <c r="M345" s="22"/>
      <c r="N345" s="22"/>
      <c r="O345" s="20" t="s">
        <v>15</v>
      </c>
      <c r="P345" s="25" t="s">
        <v>16</v>
      </c>
      <c r="Q345" s="16">
        <v>2958465</v>
      </c>
    </row>
    <row r="346" spans="1:17">
      <c r="A346" s="11">
        <f t="shared" si="5"/>
        <v>345</v>
      </c>
      <c r="B346" s="11">
        <v>8010071346</v>
      </c>
      <c r="C346" s="25" t="s">
        <v>669</v>
      </c>
      <c r="D346" s="27">
        <v>101400</v>
      </c>
      <c r="E346" s="11">
        <v>0.51</v>
      </c>
      <c r="F346" s="11" t="s">
        <v>11</v>
      </c>
      <c r="G346" s="44">
        <v>51714</v>
      </c>
      <c r="H346" s="28">
        <v>46589.189189189186</v>
      </c>
      <c r="I346" s="19" t="s">
        <v>654</v>
      </c>
      <c r="J346" s="19" t="s">
        <v>655</v>
      </c>
      <c r="K346" s="32" t="s">
        <v>656</v>
      </c>
      <c r="L346" s="22"/>
      <c r="M346" s="22"/>
      <c r="N346" s="22"/>
      <c r="O346" s="20" t="s">
        <v>15</v>
      </c>
      <c r="P346" s="25" t="s">
        <v>16</v>
      </c>
      <c r="Q346" s="16">
        <v>2958465</v>
      </c>
    </row>
    <row r="347" spans="1:17">
      <c r="A347" s="11">
        <f t="shared" si="5"/>
        <v>346</v>
      </c>
      <c r="B347" s="11">
        <v>8010071347</v>
      </c>
      <c r="C347" s="25" t="s">
        <v>675</v>
      </c>
      <c r="D347" s="27">
        <v>173300</v>
      </c>
      <c r="E347" s="11">
        <v>0.51</v>
      </c>
      <c r="F347" s="11" t="s">
        <v>11</v>
      </c>
      <c r="G347" s="44">
        <v>88383</v>
      </c>
      <c r="H347" s="28">
        <v>79624.32432432432</v>
      </c>
      <c r="I347" s="19" t="s">
        <v>654</v>
      </c>
      <c r="J347" s="19" t="s">
        <v>655</v>
      </c>
      <c r="K347" s="32" t="s">
        <v>656</v>
      </c>
      <c r="L347" s="22"/>
      <c r="M347" s="22"/>
      <c r="N347" s="22"/>
      <c r="O347" s="20" t="s">
        <v>15</v>
      </c>
      <c r="P347" s="25" t="s">
        <v>16</v>
      </c>
      <c r="Q347" s="16">
        <v>2958465</v>
      </c>
    </row>
    <row r="348" spans="1:17">
      <c r="A348" s="11">
        <f t="shared" si="5"/>
        <v>347</v>
      </c>
      <c r="B348" s="11">
        <v>8010071348</v>
      </c>
      <c r="C348" s="25" t="s">
        <v>676</v>
      </c>
      <c r="D348" s="27">
        <v>173300</v>
      </c>
      <c r="E348" s="11">
        <v>0.51</v>
      </c>
      <c r="F348" s="11" t="s">
        <v>11</v>
      </c>
      <c r="G348" s="44">
        <v>88383</v>
      </c>
      <c r="H348" s="28">
        <v>79624.32432432432</v>
      </c>
      <c r="I348" s="19" t="s">
        <v>654</v>
      </c>
      <c r="J348" s="19" t="s">
        <v>655</v>
      </c>
      <c r="K348" s="32" t="s">
        <v>656</v>
      </c>
      <c r="L348" s="22"/>
      <c r="M348" s="22"/>
      <c r="N348" s="22"/>
      <c r="O348" s="20" t="s">
        <v>15</v>
      </c>
      <c r="P348" s="25" t="s">
        <v>16</v>
      </c>
      <c r="Q348" s="16">
        <v>2958465</v>
      </c>
    </row>
    <row r="349" spans="1:17">
      <c r="A349" s="11">
        <f t="shared" si="5"/>
        <v>348</v>
      </c>
      <c r="B349" s="11">
        <v>8010071349</v>
      </c>
      <c r="C349" s="25" t="s">
        <v>677</v>
      </c>
      <c r="D349" s="27">
        <v>297000</v>
      </c>
      <c r="E349" s="11">
        <v>0.51</v>
      </c>
      <c r="F349" s="11" t="s">
        <v>11</v>
      </c>
      <c r="G349" s="44">
        <v>151470</v>
      </c>
      <c r="H349" s="28">
        <v>136459.45945945944</v>
      </c>
      <c r="I349" s="19" t="s">
        <v>654</v>
      </c>
      <c r="J349" s="19" t="s">
        <v>655</v>
      </c>
      <c r="K349" s="32" t="s">
        <v>656</v>
      </c>
      <c r="L349" s="22"/>
      <c r="M349" s="22"/>
      <c r="N349" s="22"/>
      <c r="O349" s="20" t="s">
        <v>15</v>
      </c>
      <c r="P349" s="25" t="s">
        <v>16</v>
      </c>
      <c r="Q349" s="16">
        <v>2958465</v>
      </c>
    </row>
    <row r="350" spans="1:17">
      <c r="A350" s="11">
        <f t="shared" si="5"/>
        <v>349</v>
      </c>
      <c r="B350" s="11">
        <v>8010071350</v>
      </c>
      <c r="C350" s="25" t="s">
        <v>678</v>
      </c>
      <c r="D350" s="27">
        <v>419500</v>
      </c>
      <c r="E350" s="11">
        <v>0.51</v>
      </c>
      <c r="F350" s="11" t="s">
        <v>11</v>
      </c>
      <c r="G350" s="44">
        <v>213945</v>
      </c>
      <c r="H350" s="28">
        <v>192743.24324324323</v>
      </c>
      <c r="I350" s="19" t="s">
        <v>654</v>
      </c>
      <c r="J350" s="19" t="s">
        <v>655</v>
      </c>
      <c r="K350" s="32" t="s">
        <v>656</v>
      </c>
      <c r="L350" s="22"/>
      <c r="M350" s="22"/>
      <c r="N350" s="22"/>
      <c r="O350" s="20" t="s">
        <v>15</v>
      </c>
      <c r="P350" s="25" t="s">
        <v>16</v>
      </c>
      <c r="Q350" s="16">
        <v>2958465</v>
      </c>
    </row>
    <row r="351" spans="1:17">
      <c r="A351" s="11">
        <f t="shared" si="5"/>
        <v>350</v>
      </c>
      <c r="B351" s="11">
        <v>8010071351</v>
      </c>
      <c r="C351" s="25" t="s">
        <v>931</v>
      </c>
      <c r="D351" s="27">
        <v>8100</v>
      </c>
      <c r="E351" s="11">
        <v>0.43</v>
      </c>
      <c r="F351" s="11" t="s">
        <v>11</v>
      </c>
      <c r="G351" s="44">
        <v>3483</v>
      </c>
      <c r="H351" s="28">
        <v>3137.8378378378375</v>
      </c>
      <c r="I351" s="19" t="s">
        <v>654</v>
      </c>
      <c r="J351" s="19" t="s">
        <v>655</v>
      </c>
      <c r="K351" s="32" t="s">
        <v>834</v>
      </c>
      <c r="L351" s="22"/>
      <c r="M351" s="22"/>
      <c r="N351" s="22"/>
      <c r="O351" s="20" t="s">
        <v>15</v>
      </c>
      <c r="P351" s="25" t="s">
        <v>16</v>
      </c>
      <c r="Q351" s="16">
        <v>2958465</v>
      </c>
    </row>
    <row r="352" spans="1:17">
      <c r="A352" s="11">
        <f t="shared" si="5"/>
        <v>351</v>
      </c>
      <c r="B352" s="11">
        <v>8010071352</v>
      </c>
      <c r="C352" s="25" t="s">
        <v>932</v>
      </c>
      <c r="D352" s="27">
        <v>105700</v>
      </c>
      <c r="E352" s="11">
        <v>0.43</v>
      </c>
      <c r="F352" s="11" t="s">
        <v>11</v>
      </c>
      <c r="G352" s="44">
        <v>45451</v>
      </c>
      <c r="H352" s="28">
        <v>40946.846846846842</v>
      </c>
      <c r="I352" s="19" t="s">
        <v>654</v>
      </c>
      <c r="J352" s="19" t="s">
        <v>655</v>
      </c>
      <c r="K352" s="32" t="s">
        <v>834</v>
      </c>
      <c r="L352" s="22"/>
      <c r="M352" s="22"/>
      <c r="N352" s="22"/>
      <c r="O352" s="20" t="s">
        <v>15</v>
      </c>
      <c r="P352" s="25" t="s">
        <v>16</v>
      </c>
      <c r="Q352" s="16">
        <v>2958465</v>
      </c>
    </row>
    <row r="353" spans="1:17">
      <c r="A353" s="11">
        <f t="shared" si="5"/>
        <v>352</v>
      </c>
      <c r="B353" s="11">
        <v>8010071353</v>
      </c>
      <c r="C353" s="25" t="s">
        <v>854</v>
      </c>
      <c r="D353" s="27">
        <v>147000</v>
      </c>
      <c r="E353" s="11">
        <v>0.43</v>
      </c>
      <c r="F353" s="11" t="s">
        <v>11</v>
      </c>
      <c r="G353" s="44">
        <v>63210</v>
      </c>
      <c r="H353" s="28">
        <v>56945.945945945939</v>
      </c>
      <c r="I353" s="19" t="s">
        <v>654</v>
      </c>
      <c r="J353" s="19" t="s">
        <v>655</v>
      </c>
      <c r="K353" s="32" t="s">
        <v>834</v>
      </c>
      <c r="L353" s="22"/>
      <c r="M353" s="22"/>
      <c r="N353" s="22"/>
      <c r="O353" s="20" t="s">
        <v>15</v>
      </c>
      <c r="P353" s="25" t="s">
        <v>16</v>
      </c>
      <c r="Q353" s="16">
        <v>2958465</v>
      </c>
    </row>
    <row r="354" spans="1:17">
      <c r="A354" s="11">
        <f t="shared" si="5"/>
        <v>353</v>
      </c>
      <c r="B354" s="11">
        <v>8010071354</v>
      </c>
      <c r="C354" s="25" t="s">
        <v>855</v>
      </c>
      <c r="D354" s="27">
        <v>168000</v>
      </c>
      <c r="E354" s="11">
        <v>0.43</v>
      </c>
      <c r="F354" s="11" t="s">
        <v>11</v>
      </c>
      <c r="G354" s="44">
        <v>72240</v>
      </c>
      <c r="H354" s="28">
        <v>65081.081081081073</v>
      </c>
      <c r="I354" s="19" t="s">
        <v>654</v>
      </c>
      <c r="J354" s="19" t="s">
        <v>655</v>
      </c>
      <c r="K354" s="32" t="s">
        <v>834</v>
      </c>
      <c r="L354" s="22"/>
      <c r="M354" s="22"/>
      <c r="N354" s="22"/>
      <c r="O354" s="20" t="s">
        <v>15</v>
      </c>
      <c r="P354" s="25" t="s">
        <v>16</v>
      </c>
      <c r="Q354" s="16">
        <v>2958465</v>
      </c>
    </row>
    <row r="355" spans="1:17">
      <c r="A355" s="11">
        <f t="shared" si="5"/>
        <v>354</v>
      </c>
      <c r="B355" s="11">
        <v>8010071355</v>
      </c>
      <c r="C355" s="25" t="s">
        <v>933</v>
      </c>
      <c r="D355" s="27">
        <v>313500</v>
      </c>
      <c r="E355" s="11">
        <v>0.43</v>
      </c>
      <c r="F355" s="11" t="s">
        <v>11</v>
      </c>
      <c r="G355" s="44">
        <v>134805</v>
      </c>
      <c r="H355" s="28">
        <v>121445.94594594593</v>
      </c>
      <c r="I355" s="19" t="s">
        <v>654</v>
      </c>
      <c r="J355" s="19" t="s">
        <v>655</v>
      </c>
      <c r="K355" s="32" t="s">
        <v>834</v>
      </c>
      <c r="L355" s="22"/>
      <c r="M355" s="22"/>
      <c r="N355" s="22"/>
      <c r="O355" s="20" t="s">
        <v>15</v>
      </c>
      <c r="P355" s="25" t="s">
        <v>16</v>
      </c>
      <c r="Q355" s="16">
        <v>2958465</v>
      </c>
    </row>
    <row r="356" spans="1:17">
      <c r="A356" s="11">
        <f t="shared" si="5"/>
        <v>355</v>
      </c>
      <c r="B356" s="11">
        <v>8010071356</v>
      </c>
      <c r="C356" s="25" t="s">
        <v>934</v>
      </c>
      <c r="D356" s="27">
        <v>255000</v>
      </c>
      <c r="E356" s="11">
        <v>0.43</v>
      </c>
      <c r="F356" s="11" t="s">
        <v>11</v>
      </c>
      <c r="G356" s="44">
        <v>109650</v>
      </c>
      <c r="H356" s="28">
        <v>98783.783783783772</v>
      </c>
      <c r="I356" s="19" t="s">
        <v>654</v>
      </c>
      <c r="J356" s="19" t="s">
        <v>655</v>
      </c>
      <c r="K356" s="32" t="s">
        <v>834</v>
      </c>
      <c r="L356" s="22"/>
      <c r="M356" s="22"/>
      <c r="N356" s="22"/>
      <c r="O356" s="20" t="s">
        <v>15</v>
      </c>
      <c r="P356" s="25" t="s">
        <v>16</v>
      </c>
      <c r="Q356" s="16">
        <v>2958465</v>
      </c>
    </row>
    <row r="357" spans="1:17">
      <c r="A357" s="11">
        <f t="shared" si="5"/>
        <v>356</v>
      </c>
      <c r="B357" s="11">
        <v>8010071357</v>
      </c>
      <c r="C357" s="25" t="s">
        <v>913</v>
      </c>
      <c r="D357" s="27">
        <v>282000</v>
      </c>
      <c r="E357" s="11">
        <v>0.43</v>
      </c>
      <c r="F357" s="11" t="s">
        <v>11</v>
      </c>
      <c r="G357" s="44">
        <v>121260</v>
      </c>
      <c r="H357" s="28">
        <v>109243.24324324324</v>
      </c>
      <c r="I357" s="19" t="s">
        <v>654</v>
      </c>
      <c r="J357" s="19" t="s">
        <v>655</v>
      </c>
      <c r="K357" s="32" t="s">
        <v>834</v>
      </c>
      <c r="L357" s="22"/>
      <c r="M357" s="22"/>
      <c r="N357" s="22"/>
      <c r="O357" s="20" t="s">
        <v>15</v>
      </c>
      <c r="P357" s="25" t="s">
        <v>16</v>
      </c>
      <c r="Q357" s="16">
        <v>2958465</v>
      </c>
    </row>
    <row r="358" spans="1:17">
      <c r="A358" s="11">
        <f t="shared" si="5"/>
        <v>357</v>
      </c>
      <c r="B358" s="11">
        <v>8010071358</v>
      </c>
      <c r="C358" s="25" t="s">
        <v>845</v>
      </c>
      <c r="D358" s="27">
        <v>323600</v>
      </c>
      <c r="E358" s="11">
        <v>0.43</v>
      </c>
      <c r="F358" s="11" t="s">
        <v>11</v>
      </c>
      <c r="G358" s="44">
        <v>139148</v>
      </c>
      <c r="H358" s="28">
        <v>125358.55855855855</v>
      </c>
      <c r="I358" s="19" t="s">
        <v>654</v>
      </c>
      <c r="J358" s="19" t="s">
        <v>655</v>
      </c>
      <c r="K358" s="32" t="s">
        <v>834</v>
      </c>
      <c r="L358" s="22"/>
      <c r="M358" s="22"/>
      <c r="N358" s="22"/>
      <c r="O358" s="20" t="s">
        <v>15</v>
      </c>
      <c r="P358" s="25" t="s">
        <v>16</v>
      </c>
      <c r="Q358" s="16">
        <v>2958465</v>
      </c>
    </row>
    <row r="359" spans="1:17">
      <c r="A359" s="11">
        <f t="shared" si="5"/>
        <v>358</v>
      </c>
      <c r="B359" s="11">
        <v>8010071359</v>
      </c>
      <c r="C359" s="25" t="s">
        <v>846</v>
      </c>
      <c r="D359" s="27">
        <v>383000</v>
      </c>
      <c r="E359" s="11">
        <v>0.43</v>
      </c>
      <c r="F359" s="11" t="s">
        <v>11</v>
      </c>
      <c r="G359" s="44">
        <v>164690</v>
      </c>
      <c r="H359" s="28">
        <v>148369.36936936935</v>
      </c>
      <c r="I359" s="19" t="s">
        <v>654</v>
      </c>
      <c r="J359" s="19" t="s">
        <v>655</v>
      </c>
      <c r="K359" s="32" t="s">
        <v>834</v>
      </c>
      <c r="L359" s="22"/>
      <c r="M359" s="22"/>
      <c r="N359" s="22"/>
      <c r="O359" s="20" t="s">
        <v>15</v>
      </c>
      <c r="P359" s="25" t="s">
        <v>16</v>
      </c>
      <c r="Q359" s="16">
        <v>2958465</v>
      </c>
    </row>
    <row r="360" spans="1:17">
      <c r="A360" s="11">
        <f t="shared" si="5"/>
        <v>359</v>
      </c>
      <c r="B360" s="11">
        <v>8010071360</v>
      </c>
      <c r="C360" s="25" t="s">
        <v>847</v>
      </c>
      <c r="D360" s="27">
        <v>4900</v>
      </c>
      <c r="E360" s="11">
        <v>0.43</v>
      </c>
      <c r="F360" s="11" t="s">
        <v>11</v>
      </c>
      <c r="G360" s="44">
        <v>2107</v>
      </c>
      <c r="H360" s="28">
        <v>1898.198198198198</v>
      </c>
      <c r="I360" s="19" t="s">
        <v>654</v>
      </c>
      <c r="J360" s="19" t="s">
        <v>655</v>
      </c>
      <c r="K360" s="32" t="s">
        <v>834</v>
      </c>
      <c r="L360" s="22"/>
      <c r="M360" s="22"/>
      <c r="N360" s="22"/>
      <c r="O360" s="20" t="s">
        <v>15</v>
      </c>
      <c r="P360" s="25" t="s">
        <v>16</v>
      </c>
      <c r="Q360" s="16">
        <v>2958465</v>
      </c>
    </row>
    <row r="361" spans="1:17">
      <c r="A361" s="11">
        <f t="shared" si="5"/>
        <v>360</v>
      </c>
      <c r="B361" s="11">
        <v>8010071361</v>
      </c>
      <c r="C361" s="25" t="s">
        <v>848</v>
      </c>
      <c r="D361" s="27">
        <v>8000</v>
      </c>
      <c r="E361" s="11">
        <v>0.43</v>
      </c>
      <c r="F361" s="11" t="s">
        <v>11</v>
      </c>
      <c r="G361" s="44">
        <v>3440</v>
      </c>
      <c r="H361" s="28">
        <v>3099.099099099099</v>
      </c>
      <c r="I361" s="19" t="s">
        <v>654</v>
      </c>
      <c r="J361" s="19" t="s">
        <v>655</v>
      </c>
      <c r="K361" s="32" t="s">
        <v>834</v>
      </c>
      <c r="L361" s="22"/>
      <c r="M361" s="22"/>
      <c r="N361" s="22"/>
      <c r="O361" s="20" t="s">
        <v>15</v>
      </c>
      <c r="P361" s="25" t="s">
        <v>16</v>
      </c>
      <c r="Q361" s="16">
        <v>2958465</v>
      </c>
    </row>
    <row r="362" spans="1:17">
      <c r="A362" s="11">
        <f t="shared" si="5"/>
        <v>361</v>
      </c>
      <c r="B362" s="11">
        <v>8010071362</v>
      </c>
      <c r="C362" s="25" t="s">
        <v>849</v>
      </c>
      <c r="D362" s="27">
        <v>9200</v>
      </c>
      <c r="E362" s="11">
        <v>0.43</v>
      </c>
      <c r="F362" s="11" t="s">
        <v>11</v>
      </c>
      <c r="G362" s="44">
        <v>3956</v>
      </c>
      <c r="H362" s="28">
        <v>3563.9639639639636</v>
      </c>
      <c r="I362" s="19" t="s">
        <v>654</v>
      </c>
      <c r="J362" s="19" t="s">
        <v>655</v>
      </c>
      <c r="K362" s="32" t="s">
        <v>834</v>
      </c>
      <c r="L362" s="22"/>
      <c r="M362" s="22"/>
      <c r="N362" s="22"/>
      <c r="O362" s="20" t="s">
        <v>15</v>
      </c>
      <c r="P362" s="25" t="s">
        <v>16</v>
      </c>
      <c r="Q362" s="16">
        <v>2958465</v>
      </c>
    </row>
    <row r="363" spans="1:17">
      <c r="A363" s="11">
        <f t="shared" si="5"/>
        <v>362</v>
      </c>
      <c r="B363" s="11">
        <v>8010071363</v>
      </c>
      <c r="C363" s="25" t="s">
        <v>856</v>
      </c>
      <c r="D363" s="27">
        <v>16000</v>
      </c>
      <c r="E363" s="11">
        <v>0.43</v>
      </c>
      <c r="F363" s="11" t="s">
        <v>11</v>
      </c>
      <c r="G363" s="44">
        <v>6880</v>
      </c>
      <c r="H363" s="28">
        <v>6198.198198198198</v>
      </c>
      <c r="I363" s="19" t="s">
        <v>654</v>
      </c>
      <c r="J363" s="19" t="s">
        <v>655</v>
      </c>
      <c r="K363" s="32" t="s">
        <v>834</v>
      </c>
      <c r="L363" s="22"/>
      <c r="M363" s="22"/>
      <c r="N363" s="22"/>
      <c r="O363" s="20" t="s">
        <v>15</v>
      </c>
      <c r="P363" s="25" t="s">
        <v>16</v>
      </c>
      <c r="Q363" s="16">
        <v>2958465</v>
      </c>
    </row>
    <row r="364" spans="1:17">
      <c r="A364" s="11">
        <f t="shared" si="5"/>
        <v>363</v>
      </c>
      <c r="B364" s="11">
        <v>8010071364</v>
      </c>
      <c r="C364" s="25" t="s">
        <v>850</v>
      </c>
      <c r="D364" s="27">
        <v>17800</v>
      </c>
      <c r="E364" s="11">
        <v>0.43</v>
      </c>
      <c r="F364" s="11" t="s">
        <v>11</v>
      </c>
      <c r="G364" s="44">
        <v>7654</v>
      </c>
      <c r="H364" s="28">
        <v>6895.4954954954947</v>
      </c>
      <c r="I364" s="19" t="s">
        <v>654</v>
      </c>
      <c r="J364" s="19" t="s">
        <v>655</v>
      </c>
      <c r="K364" s="32" t="s">
        <v>834</v>
      </c>
      <c r="L364" s="22"/>
      <c r="M364" s="22"/>
      <c r="N364" s="22"/>
      <c r="O364" s="20" t="s">
        <v>15</v>
      </c>
      <c r="P364" s="25" t="s">
        <v>16</v>
      </c>
      <c r="Q364" s="16">
        <v>2958465</v>
      </c>
    </row>
    <row r="365" spans="1:17">
      <c r="A365" s="11">
        <f t="shared" si="5"/>
        <v>364</v>
      </c>
      <c r="B365" s="11">
        <v>8010071365</v>
      </c>
      <c r="C365" s="25" t="s">
        <v>851</v>
      </c>
      <c r="D365" s="27">
        <v>19300</v>
      </c>
      <c r="E365" s="11">
        <v>0.43</v>
      </c>
      <c r="F365" s="11" t="s">
        <v>11</v>
      </c>
      <c r="G365" s="44">
        <v>8299</v>
      </c>
      <c r="H365" s="28">
        <v>7476.5765765765764</v>
      </c>
      <c r="I365" s="19" t="s">
        <v>654</v>
      </c>
      <c r="J365" s="19" t="s">
        <v>655</v>
      </c>
      <c r="K365" s="32" t="s">
        <v>834</v>
      </c>
      <c r="L365" s="22"/>
      <c r="M365" s="22"/>
      <c r="N365" s="22"/>
      <c r="O365" s="20" t="s">
        <v>15</v>
      </c>
      <c r="P365" s="25" t="s">
        <v>16</v>
      </c>
      <c r="Q365" s="16">
        <v>2958465</v>
      </c>
    </row>
    <row r="366" spans="1:17">
      <c r="A366" s="11">
        <f t="shared" si="5"/>
        <v>365</v>
      </c>
      <c r="B366" s="11">
        <v>8010071366</v>
      </c>
      <c r="C366" s="25" t="s">
        <v>852</v>
      </c>
      <c r="D366" s="27">
        <v>25800</v>
      </c>
      <c r="E366" s="11">
        <v>0.43</v>
      </c>
      <c r="F366" s="11" t="s">
        <v>11</v>
      </c>
      <c r="G366" s="44">
        <v>11094</v>
      </c>
      <c r="H366" s="28">
        <v>9994.5945945945932</v>
      </c>
      <c r="I366" s="19" t="s">
        <v>654</v>
      </c>
      <c r="J366" s="19" t="s">
        <v>655</v>
      </c>
      <c r="K366" s="32" t="s">
        <v>834</v>
      </c>
      <c r="L366" s="22"/>
      <c r="M366" s="22"/>
      <c r="N366" s="22"/>
      <c r="O366" s="20" t="s">
        <v>15</v>
      </c>
      <c r="P366" s="25" t="s">
        <v>16</v>
      </c>
      <c r="Q366" s="16">
        <v>2958465</v>
      </c>
    </row>
    <row r="367" spans="1:17">
      <c r="A367" s="11">
        <f t="shared" si="5"/>
        <v>366</v>
      </c>
      <c r="B367" s="11">
        <v>8010071367</v>
      </c>
      <c r="C367" s="25" t="s">
        <v>853</v>
      </c>
      <c r="D367" s="27">
        <v>26200</v>
      </c>
      <c r="E367" s="11">
        <v>0.43</v>
      </c>
      <c r="F367" s="11" t="s">
        <v>11</v>
      </c>
      <c r="G367" s="44">
        <v>11266</v>
      </c>
      <c r="H367" s="28">
        <v>10149.549549549549</v>
      </c>
      <c r="I367" s="19" t="s">
        <v>654</v>
      </c>
      <c r="J367" s="19" t="s">
        <v>655</v>
      </c>
      <c r="K367" s="32" t="s">
        <v>834</v>
      </c>
      <c r="L367" s="22"/>
      <c r="M367" s="22"/>
      <c r="N367" s="22"/>
      <c r="O367" s="20" t="s">
        <v>15</v>
      </c>
      <c r="P367" s="25" t="s">
        <v>16</v>
      </c>
      <c r="Q367" s="16">
        <v>2958465</v>
      </c>
    </row>
    <row r="368" spans="1:17">
      <c r="A368" s="11">
        <f t="shared" si="5"/>
        <v>367</v>
      </c>
      <c r="B368" s="11">
        <v>8010071368</v>
      </c>
      <c r="C368" s="25" t="s">
        <v>857</v>
      </c>
      <c r="D368" s="27">
        <v>27400</v>
      </c>
      <c r="E368" s="11">
        <v>0.43</v>
      </c>
      <c r="F368" s="11" t="s">
        <v>11</v>
      </c>
      <c r="G368" s="44">
        <v>11782</v>
      </c>
      <c r="H368" s="28">
        <v>10614.414414414414</v>
      </c>
      <c r="I368" s="19" t="s">
        <v>654</v>
      </c>
      <c r="J368" s="19" t="s">
        <v>655</v>
      </c>
      <c r="K368" s="32" t="s">
        <v>834</v>
      </c>
      <c r="L368" s="22"/>
      <c r="M368" s="22"/>
      <c r="N368" s="22"/>
      <c r="O368" s="20" t="s">
        <v>15</v>
      </c>
      <c r="P368" s="25" t="s">
        <v>16</v>
      </c>
      <c r="Q368" s="16">
        <v>2958465</v>
      </c>
    </row>
    <row r="369" spans="1:17">
      <c r="A369" s="11">
        <f t="shared" si="5"/>
        <v>368</v>
      </c>
      <c r="B369" s="11">
        <v>8010071369</v>
      </c>
      <c r="C369" s="25" t="s">
        <v>858</v>
      </c>
      <c r="D369" s="27">
        <v>28200</v>
      </c>
      <c r="E369" s="11">
        <v>0.43</v>
      </c>
      <c r="F369" s="11" t="s">
        <v>11</v>
      </c>
      <c r="G369" s="44">
        <v>12126</v>
      </c>
      <c r="H369" s="28">
        <v>10924.324324324323</v>
      </c>
      <c r="I369" s="19" t="s">
        <v>654</v>
      </c>
      <c r="J369" s="19" t="s">
        <v>655</v>
      </c>
      <c r="K369" s="32" t="s">
        <v>834</v>
      </c>
      <c r="L369" s="22"/>
      <c r="M369" s="22"/>
      <c r="N369" s="22"/>
      <c r="O369" s="20" t="s">
        <v>15</v>
      </c>
      <c r="P369" s="25" t="s">
        <v>16</v>
      </c>
      <c r="Q369" s="16">
        <v>2958465</v>
      </c>
    </row>
    <row r="370" spans="1:17">
      <c r="A370" s="11">
        <f t="shared" si="5"/>
        <v>369</v>
      </c>
      <c r="B370" s="11">
        <v>8010071370</v>
      </c>
      <c r="C370" s="25" t="s">
        <v>859</v>
      </c>
      <c r="D370" s="27">
        <v>36300</v>
      </c>
      <c r="E370" s="11">
        <v>0.43</v>
      </c>
      <c r="F370" s="11" t="s">
        <v>11</v>
      </c>
      <c r="G370" s="44">
        <v>15609</v>
      </c>
      <c r="H370" s="28">
        <v>14062.162162162162</v>
      </c>
      <c r="I370" s="19" t="s">
        <v>654</v>
      </c>
      <c r="J370" s="19" t="s">
        <v>655</v>
      </c>
      <c r="K370" s="32" t="s">
        <v>834</v>
      </c>
      <c r="L370" s="22"/>
      <c r="M370" s="22"/>
      <c r="N370" s="22"/>
      <c r="O370" s="20" t="s">
        <v>15</v>
      </c>
      <c r="P370" s="25" t="s">
        <v>16</v>
      </c>
      <c r="Q370" s="16">
        <v>2958465</v>
      </c>
    </row>
    <row r="371" spans="1:17">
      <c r="A371" s="11">
        <f t="shared" si="5"/>
        <v>370</v>
      </c>
      <c r="B371" s="11">
        <v>8010071371</v>
      </c>
      <c r="C371" s="25" t="s">
        <v>860</v>
      </c>
      <c r="D371" s="27">
        <v>38600</v>
      </c>
      <c r="E371" s="11">
        <v>0.43</v>
      </c>
      <c r="F371" s="11" t="s">
        <v>11</v>
      </c>
      <c r="G371" s="44">
        <v>16598</v>
      </c>
      <c r="H371" s="28">
        <v>14953.153153153153</v>
      </c>
      <c r="I371" s="19" t="s">
        <v>654</v>
      </c>
      <c r="J371" s="19" t="s">
        <v>655</v>
      </c>
      <c r="K371" s="32" t="s">
        <v>834</v>
      </c>
      <c r="L371" s="22"/>
      <c r="M371" s="22"/>
      <c r="N371" s="22"/>
      <c r="O371" s="20" t="s">
        <v>15</v>
      </c>
      <c r="P371" s="25" t="s">
        <v>16</v>
      </c>
      <c r="Q371" s="16">
        <v>2958465</v>
      </c>
    </row>
    <row r="372" spans="1:17">
      <c r="A372" s="11">
        <f t="shared" si="5"/>
        <v>371</v>
      </c>
      <c r="B372" s="11">
        <v>8010071372</v>
      </c>
      <c r="C372" s="25" t="s">
        <v>861</v>
      </c>
      <c r="D372" s="27">
        <v>43100</v>
      </c>
      <c r="E372" s="11">
        <v>0.43</v>
      </c>
      <c r="F372" s="11" t="s">
        <v>11</v>
      </c>
      <c r="G372" s="44">
        <v>18533</v>
      </c>
      <c r="H372" s="28">
        <v>16696.396396396394</v>
      </c>
      <c r="I372" s="19" t="s">
        <v>654</v>
      </c>
      <c r="J372" s="19" t="s">
        <v>655</v>
      </c>
      <c r="K372" s="32" t="s">
        <v>834</v>
      </c>
      <c r="L372" s="22"/>
      <c r="M372" s="22"/>
      <c r="N372" s="22"/>
      <c r="O372" s="20" t="s">
        <v>15</v>
      </c>
      <c r="P372" s="25" t="s">
        <v>16</v>
      </c>
      <c r="Q372" s="16">
        <v>2958465</v>
      </c>
    </row>
    <row r="373" spans="1:17">
      <c r="A373" s="11">
        <f t="shared" si="5"/>
        <v>372</v>
      </c>
      <c r="B373" s="11">
        <v>8010071373</v>
      </c>
      <c r="C373" s="25" t="s">
        <v>862</v>
      </c>
      <c r="D373" s="27">
        <v>50500</v>
      </c>
      <c r="E373" s="11">
        <v>0.43</v>
      </c>
      <c r="F373" s="11" t="s">
        <v>11</v>
      </c>
      <c r="G373" s="44">
        <v>21715</v>
      </c>
      <c r="H373" s="28">
        <v>19563.063063063062</v>
      </c>
      <c r="I373" s="19" t="s">
        <v>654</v>
      </c>
      <c r="J373" s="19" t="s">
        <v>655</v>
      </c>
      <c r="K373" s="32" t="s">
        <v>834</v>
      </c>
      <c r="L373" s="22"/>
      <c r="M373" s="22"/>
      <c r="N373" s="22"/>
      <c r="O373" s="20" t="s">
        <v>15</v>
      </c>
      <c r="P373" s="25" t="s">
        <v>16</v>
      </c>
      <c r="Q373" s="16">
        <v>2958465</v>
      </c>
    </row>
    <row r="374" spans="1:17">
      <c r="A374" s="11">
        <f t="shared" si="5"/>
        <v>373</v>
      </c>
      <c r="B374" s="11">
        <v>8010071374</v>
      </c>
      <c r="C374" s="25" t="s">
        <v>863</v>
      </c>
      <c r="D374" s="27">
        <v>67100</v>
      </c>
      <c r="E374" s="11">
        <v>0.43</v>
      </c>
      <c r="F374" s="11" t="s">
        <v>11</v>
      </c>
      <c r="G374" s="44">
        <v>28853</v>
      </c>
      <c r="H374" s="28">
        <v>25993.693693693691</v>
      </c>
      <c r="I374" s="19" t="s">
        <v>654</v>
      </c>
      <c r="J374" s="19" t="s">
        <v>655</v>
      </c>
      <c r="K374" s="32" t="s">
        <v>834</v>
      </c>
      <c r="L374" s="22"/>
      <c r="M374" s="22"/>
      <c r="N374" s="22"/>
      <c r="O374" s="20" t="s">
        <v>15</v>
      </c>
      <c r="P374" s="25" t="s">
        <v>16</v>
      </c>
      <c r="Q374" s="16">
        <v>2958465</v>
      </c>
    </row>
    <row r="375" spans="1:17">
      <c r="A375" s="11">
        <f t="shared" si="5"/>
        <v>374</v>
      </c>
      <c r="B375" s="11">
        <v>8010071375</v>
      </c>
      <c r="C375" s="25" t="s">
        <v>864</v>
      </c>
      <c r="D375" s="27">
        <v>68300</v>
      </c>
      <c r="E375" s="11">
        <v>0.43</v>
      </c>
      <c r="F375" s="11" t="s">
        <v>11</v>
      </c>
      <c r="G375" s="44">
        <v>29369</v>
      </c>
      <c r="H375" s="28">
        <v>26458.558558558558</v>
      </c>
      <c r="I375" s="19" t="s">
        <v>654</v>
      </c>
      <c r="J375" s="19" t="s">
        <v>655</v>
      </c>
      <c r="K375" s="32" t="s">
        <v>834</v>
      </c>
      <c r="L375" s="22"/>
      <c r="M375" s="22"/>
      <c r="N375" s="22"/>
      <c r="O375" s="20" t="s">
        <v>15</v>
      </c>
      <c r="P375" s="25" t="s">
        <v>16</v>
      </c>
      <c r="Q375" s="16">
        <v>2958465</v>
      </c>
    </row>
    <row r="376" spans="1:17">
      <c r="A376" s="11">
        <f t="shared" si="5"/>
        <v>375</v>
      </c>
      <c r="B376" s="11">
        <v>8010071376</v>
      </c>
      <c r="C376" s="25" t="s">
        <v>865</v>
      </c>
      <c r="D376" s="27">
        <v>108700</v>
      </c>
      <c r="E376" s="11">
        <v>0.43</v>
      </c>
      <c r="F376" s="11" t="s">
        <v>11</v>
      </c>
      <c r="G376" s="44">
        <v>46741</v>
      </c>
      <c r="H376" s="28">
        <v>42109.009009009009</v>
      </c>
      <c r="I376" s="19" t="s">
        <v>654</v>
      </c>
      <c r="J376" s="19" t="s">
        <v>655</v>
      </c>
      <c r="K376" s="32" t="s">
        <v>834</v>
      </c>
      <c r="L376" s="22"/>
      <c r="M376" s="22"/>
      <c r="N376" s="22"/>
      <c r="O376" s="20" t="s">
        <v>15</v>
      </c>
      <c r="P376" s="25" t="s">
        <v>16</v>
      </c>
      <c r="Q376" s="16">
        <v>2958465</v>
      </c>
    </row>
    <row r="377" spans="1:17">
      <c r="A377" s="11">
        <f t="shared" si="5"/>
        <v>376</v>
      </c>
      <c r="B377" s="11">
        <v>8010071377</v>
      </c>
      <c r="C377" s="25" t="s">
        <v>866</v>
      </c>
      <c r="D377" s="27">
        <v>2700</v>
      </c>
      <c r="E377" s="11">
        <v>0.43</v>
      </c>
      <c r="F377" s="11" t="s">
        <v>11</v>
      </c>
      <c r="G377" s="44">
        <v>1161</v>
      </c>
      <c r="H377" s="28">
        <v>1045.9459459459458</v>
      </c>
      <c r="I377" s="19" t="s">
        <v>654</v>
      </c>
      <c r="J377" s="19" t="s">
        <v>655</v>
      </c>
      <c r="K377" s="32" t="s">
        <v>834</v>
      </c>
      <c r="L377" s="22"/>
      <c r="M377" s="22"/>
      <c r="N377" s="22"/>
      <c r="O377" s="20" t="s">
        <v>15</v>
      </c>
      <c r="P377" s="25" t="s">
        <v>16</v>
      </c>
      <c r="Q377" s="16">
        <v>2958465</v>
      </c>
    </row>
    <row r="378" spans="1:17">
      <c r="A378" s="11">
        <f t="shared" si="5"/>
        <v>377</v>
      </c>
      <c r="B378" s="11">
        <v>8010071378</v>
      </c>
      <c r="C378" s="25" t="s">
        <v>844</v>
      </c>
      <c r="D378" s="27">
        <v>3300</v>
      </c>
      <c r="E378" s="11">
        <v>0.43</v>
      </c>
      <c r="F378" s="11" t="s">
        <v>11</v>
      </c>
      <c r="G378" s="44">
        <v>1419</v>
      </c>
      <c r="H378" s="28">
        <v>1278.3783783783783</v>
      </c>
      <c r="I378" s="19" t="s">
        <v>654</v>
      </c>
      <c r="J378" s="19" t="s">
        <v>655</v>
      </c>
      <c r="K378" s="32" t="s">
        <v>834</v>
      </c>
      <c r="L378" s="22"/>
      <c r="M378" s="22"/>
      <c r="N378" s="22"/>
      <c r="O378" s="20" t="s">
        <v>15</v>
      </c>
      <c r="P378" s="25" t="s">
        <v>16</v>
      </c>
      <c r="Q378" s="16">
        <v>2958465</v>
      </c>
    </row>
    <row r="379" spans="1:17">
      <c r="A379" s="11">
        <f t="shared" si="5"/>
        <v>378</v>
      </c>
      <c r="B379" s="11">
        <v>8010071379</v>
      </c>
      <c r="C379" s="25" t="s">
        <v>833</v>
      </c>
      <c r="D379" s="27">
        <v>4800</v>
      </c>
      <c r="E379" s="11">
        <v>0.43</v>
      </c>
      <c r="F379" s="11" t="s">
        <v>11</v>
      </c>
      <c r="G379" s="44">
        <v>2064</v>
      </c>
      <c r="H379" s="28">
        <v>1859.4594594594594</v>
      </c>
      <c r="I379" s="19" t="s">
        <v>654</v>
      </c>
      <c r="J379" s="19" t="s">
        <v>655</v>
      </c>
      <c r="K379" s="32" t="s">
        <v>834</v>
      </c>
      <c r="L379" s="22"/>
      <c r="M379" s="22"/>
      <c r="N379" s="22"/>
      <c r="O379" s="20" t="s">
        <v>15</v>
      </c>
      <c r="P379" s="25" t="s">
        <v>16</v>
      </c>
      <c r="Q379" s="16">
        <v>2958465</v>
      </c>
    </row>
    <row r="380" spans="1:17">
      <c r="A380" s="11">
        <f t="shared" si="5"/>
        <v>379</v>
      </c>
      <c r="B380" s="11">
        <v>8010071380</v>
      </c>
      <c r="C380" s="25" t="s">
        <v>835</v>
      </c>
      <c r="D380" s="27">
        <v>9200</v>
      </c>
      <c r="E380" s="11">
        <v>0.43</v>
      </c>
      <c r="F380" s="11" t="s">
        <v>11</v>
      </c>
      <c r="G380" s="44">
        <v>3956</v>
      </c>
      <c r="H380" s="28">
        <v>3563.9639639639636</v>
      </c>
      <c r="I380" s="19" t="s">
        <v>654</v>
      </c>
      <c r="J380" s="19" t="s">
        <v>655</v>
      </c>
      <c r="K380" s="32" t="s">
        <v>834</v>
      </c>
      <c r="L380" s="22"/>
      <c r="M380" s="22"/>
      <c r="N380" s="22"/>
      <c r="O380" s="20" t="s">
        <v>15</v>
      </c>
      <c r="P380" s="25" t="s">
        <v>16</v>
      </c>
      <c r="Q380" s="16">
        <v>2958465</v>
      </c>
    </row>
    <row r="381" spans="1:17">
      <c r="A381" s="11">
        <f t="shared" si="5"/>
        <v>380</v>
      </c>
      <c r="B381" s="11">
        <v>8010071381</v>
      </c>
      <c r="C381" s="25" t="s">
        <v>836</v>
      </c>
      <c r="D381" s="27">
        <v>15500</v>
      </c>
      <c r="E381" s="11">
        <v>0.43</v>
      </c>
      <c r="F381" s="11" t="s">
        <v>11</v>
      </c>
      <c r="G381" s="44">
        <v>6665</v>
      </c>
      <c r="H381" s="28">
        <v>6004.5045045045035</v>
      </c>
      <c r="I381" s="19" t="s">
        <v>654</v>
      </c>
      <c r="J381" s="19" t="s">
        <v>655</v>
      </c>
      <c r="K381" s="32" t="s">
        <v>834</v>
      </c>
      <c r="L381" s="22"/>
      <c r="M381" s="22"/>
      <c r="N381" s="22"/>
      <c r="O381" s="20" t="s">
        <v>15</v>
      </c>
      <c r="P381" s="25" t="s">
        <v>16</v>
      </c>
      <c r="Q381" s="16">
        <v>2958465</v>
      </c>
    </row>
    <row r="382" spans="1:17">
      <c r="A382" s="11">
        <f t="shared" si="5"/>
        <v>381</v>
      </c>
      <c r="B382" s="11">
        <v>8010071382</v>
      </c>
      <c r="C382" s="25" t="s">
        <v>837</v>
      </c>
      <c r="D382" s="27">
        <v>24900</v>
      </c>
      <c r="E382" s="11">
        <v>0.43</v>
      </c>
      <c r="F382" s="11" t="s">
        <v>11</v>
      </c>
      <c r="G382" s="44">
        <v>10707</v>
      </c>
      <c r="H382" s="28">
        <v>9645.9459459459449</v>
      </c>
      <c r="I382" s="19" t="s">
        <v>654</v>
      </c>
      <c r="J382" s="19" t="s">
        <v>655</v>
      </c>
      <c r="K382" s="32" t="s">
        <v>834</v>
      </c>
      <c r="L382" s="22"/>
      <c r="M382" s="22"/>
      <c r="N382" s="22"/>
      <c r="O382" s="20" t="s">
        <v>15</v>
      </c>
      <c r="P382" s="25" t="s">
        <v>16</v>
      </c>
      <c r="Q382" s="16">
        <v>2958465</v>
      </c>
    </row>
    <row r="383" spans="1:17">
      <c r="A383" s="11">
        <f t="shared" si="5"/>
        <v>382</v>
      </c>
      <c r="B383" s="11">
        <v>8010071383</v>
      </c>
      <c r="C383" s="25" t="s">
        <v>838</v>
      </c>
      <c r="D383" s="27">
        <v>40400</v>
      </c>
      <c r="E383" s="11">
        <v>0.43</v>
      </c>
      <c r="F383" s="11" t="s">
        <v>11</v>
      </c>
      <c r="G383" s="44">
        <v>17372</v>
      </c>
      <c r="H383" s="28">
        <v>15650.450450450449</v>
      </c>
      <c r="I383" s="19" t="s">
        <v>654</v>
      </c>
      <c r="J383" s="19" t="s">
        <v>655</v>
      </c>
      <c r="K383" s="32" t="s">
        <v>834</v>
      </c>
      <c r="L383" s="22"/>
      <c r="M383" s="22"/>
      <c r="N383" s="22"/>
      <c r="O383" s="20" t="s">
        <v>15</v>
      </c>
      <c r="P383" s="25" t="s">
        <v>16</v>
      </c>
      <c r="Q383" s="16">
        <v>2958465</v>
      </c>
    </row>
    <row r="384" spans="1:17">
      <c r="A384" s="11">
        <f t="shared" si="5"/>
        <v>383</v>
      </c>
      <c r="B384" s="11">
        <v>8010071384</v>
      </c>
      <c r="C384" s="25" t="s">
        <v>839</v>
      </c>
      <c r="D384" s="27">
        <v>81900</v>
      </c>
      <c r="E384" s="11">
        <v>0.43</v>
      </c>
      <c r="F384" s="11" t="s">
        <v>11</v>
      </c>
      <c r="G384" s="44">
        <v>35217</v>
      </c>
      <c r="H384" s="28">
        <v>31727.027027027023</v>
      </c>
      <c r="I384" s="19" t="s">
        <v>654</v>
      </c>
      <c r="J384" s="19" t="s">
        <v>655</v>
      </c>
      <c r="K384" s="32" t="s">
        <v>834</v>
      </c>
      <c r="L384" s="22"/>
      <c r="M384" s="22"/>
      <c r="N384" s="22"/>
      <c r="O384" s="20" t="s">
        <v>15</v>
      </c>
      <c r="P384" s="25" t="s">
        <v>16</v>
      </c>
      <c r="Q384" s="16">
        <v>2958465</v>
      </c>
    </row>
    <row r="385" spans="1:17">
      <c r="A385" s="11">
        <f t="shared" si="5"/>
        <v>384</v>
      </c>
      <c r="B385" s="11">
        <v>8010071385</v>
      </c>
      <c r="C385" s="25" t="s">
        <v>840</v>
      </c>
      <c r="D385" s="27">
        <v>112800</v>
      </c>
      <c r="E385" s="11">
        <v>0.43</v>
      </c>
      <c r="F385" s="11" t="s">
        <v>11</v>
      </c>
      <c r="G385" s="44">
        <v>48504</v>
      </c>
      <c r="H385" s="28">
        <v>43697.297297297293</v>
      </c>
      <c r="I385" s="19" t="s">
        <v>654</v>
      </c>
      <c r="J385" s="19" t="s">
        <v>655</v>
      </c>
      <c r="K385" s="32" t="s">
        <v>834</v>
      </c>
      <c r="L385" s="22"/>
      <c r="M385" s="22"/>
      <c r="N385" s="22"/>
      <c r="O385" s="20" t="s">
        <v>15</v>
      </c>
      <c r="P385" s="25" t="s">
        <v>16</v>
      </c>
      <c r="Q385" s="16">
        <v>2958465</v>
      </c>
    </row>
    <row r="386" spans="1:17">
      <c r="A386" s="11">
        <f t="shared" si="5"/>
        <v>385</v>
      </c>
      <c r="B386" s="11">
        <v>8010071386</v>
      </c>
      <c r="C386" s="25" t="s">
        <v>841</v>
      </c>
      <c r="D386" s="27">
        <v>344100</v>
      </c>
      <c r="E386" s="11">
        <v>0.43</v>
      </c>
      <c r="F386" s="11" t="s">
        <v>11</v>
      </c>
      <c r="G386" s="44">
        <v>147963</v>
      </c>
      <c r="H386" s="28">
        <v>133300</v>
      </c>
      <c r="I386" s="19" t="s">
        <v>654</v>
      </c>
      <c r="J386" s="19" t="s">
        <v>655</v>
      </c>
      <c r="K386" s="32" t="s">
        <v>834</v>
      </c>
      <c r="L386" s="22"/>
      <c r="M386" s="22"/>
      <c r="N386" s="22"/>
      <c r="O386" s="20" t="s">
        <v>15</v>
      </c>
      <c r="P386" s="25" t="s">
        <v>16</v>
      </c>
      <c r="Q386" s="16">
        <v>2958465</v>
      </c>
    </row>
    <row r="387" spans="1:17">
      <c r="A387" s="11">
        <f t="shared" si="5"/>
        <v>386</v>
      </c>
      <c r="B387" s="11">
        <v>8010071387</v>
      </c>
      <c r="C387" s="25" t="s">
        <v>653</v>
      </c>
      <c r="D387" s="27">
        <v>17200</v>
      </c>
      <c r="E387" s="11">
        <v>0.51</v>
      </c>
      <c r="F387" s="11" t="s">
        <v>11</v>
      </c>
      <c r="G387" s="44">
        <v>8772</v>
      </c>
      <c r="H387" s="28">
        <v>7902.7027027027016</v>
      </c>
      <c r="I387" s="19" t="s">
        <v>654</v>
      </c>
      <c r="J387" s="19" t="s">
        <v>655</v>
      </c>
      <c r="K387" s="32" t="s">
        <v>656</v>
      </c>
      <c r="L387" s="22"/>
      <c r="M387" s="22"/>
      <c r="N387" s="22"/>
      <c r="O387" s="20" t="s">
        <v>15</v>
      </c>
      <c r="P387" s="25" t="s">
        <v>16</v>
      </c>
      <c r="Q387" s="16">
        <v>2958465</v>
      </c>
    </row>
    <row r="388" spans="1:17">
      <c r="A388" s="11">
        <f t="shared" si="5"/>
        <v>387</v>
      </c>
      <c r="B388" s="11">
        <v>8010071388</v>
      </c>
      <c r="C388" s="25" t="s">
        <v>657</v>
      </c>
      <c r="D388" s="27">
        <v>17200</v>
      </c>
      <c r="E388" s="11">
        <v>0.51</v>
      </c>
      <c r="F388" s="11" t="s">
        <v>11</v>
      </c>
      <c r="G388" s="44">
        <v>8772</v>
      </c>
      <c r="H388" s="28">
        <v>7902.7027027027016</v>
      </c>
      <c r="I388" s="19" t="s">
        <v>654</v>
      </c>
      <c r="J388" s="19" t="s">
        <v>655</v>
      </c>
      <c r="K388" s="32" t="s">
        <v>656</v>
      </c>
      <c r="L388" s="22"/>
      <c r="M388" s="22"/>
      <c r="N388" s="22"/>
      <c r="O388" s="20" t="s">
        <v>15</v>
      </c>
      <c r="P388" s="25" t="s">
        <v>16</v>
      </c>
      <c r="Q388" s="16">
        <v>2958465</v>
      </c>
    </row>
    <row r="389" spans="1:17">
      <c r="A389" s="11">
        <f t="shared" ref="A389:A452" si="6">ROW()-1</f>
        <v>388</v>
      </c>
      <c r="B389" s="11">
        <v>8010071389</v>
      </c>
      <c r="C389" s="25" t="s">
        <v>741</v>
      </c>
      <c r="D389" s="27">
        <v>22900</v>
      </c>
      <c r="E389" s="11">
        <v>0.51</v>
      </c>
      <c r="F389" s="11" t="s">
        <v>11</v>
      </c>
      <c r="G389" s="44">
        <v>11679</v>
      </c>
      <c r="H389" s="28">
        <v>10521.62162162162</v>
      </c>
      <c r="I389" s="19" t="s">
        <v>654</v>
      </c>
      <c r="J389" s="19" t="s">
        <v>655</v>
      </c>
      <c r="K389" s="32" t="s">
        <v>656</v>
      </c>
      <c r="L389" s="22"/>
      <c r="M389" s="22"/>
      <c r="N389" s="22"/>
      <c r="O389" s="20" t="s">
        <v>15</v>
      </c>
      <c r="P389" s="25" t="s">
        <v>16</v>
      </c>
      <c r="Q389" s="16">
        <v>2958465</v>
      </c>
    </row>
    <row r="390" spans="1:17">
      <c r="A390" s="11">
        <f t="shared" si="6"/>
        <v>389</v>
      </c>
      <c r="B390" s="11">
        <v>8010071390</v>
      </c>
      <c r="C390" s="25" t="s">
        <v>658</v>
      </c>
      <c r="D390" s="27">
        <v>77600</v>
      </c>
      <c r="E390" s="11">
        <v>0.51</v>
      </c>
      <c r="F390" s="11" t="s">
        <v>11</v>
      </c>
      <c r="G390" s="44">
        <v>39576</v>
      </c>
      <c r="H390" s="28">
        <v>35654.054054054053</v>
      </c>
      <c r="I390" s="19" t="s">
        <v>654</v>
      </c>
      <c r="J390" s="19" t="s">
        <v>655</v>
      </c>
      <c r="K390" s="32" t="s">
        <v>656</v>
      </c>
      <c r="L390" s="22"/>
      <c r="M390" s="22"/>
      <c r="N390" s="22"/>
      <c r="O390" s="20" t="s">
        <v>15</v>
      </c>
      <c r="P390" s="25" t="s">
        <v>16</v>
      </c>
      <c r="Q390" s="16">
        <v>2958465</v>
      </c>
    </row>
    <row r="391" spans="1:17">
      <c r="A391" s="11">
        <f t="shared" si="6"/>
        <v>390</v>
      </c>
      <c r="B391" s="11">
        <v>8010071391</v>
      </c>
      <c r="C391" s="25" t="s">
        <v>659</v>
      </c>
      <c r="D391" s="27">
        <v>134500</v>
      </c>
      <c r="E391" s="11">
        <v>0.51</v>
      </c>
      <c r="F391" s="11" t="s">
        <v>11</v>
      </c>
      <c r="G391" s="44">
        <v>68595</v>
      </c>
      <c r="H391" s="28">
        <v>61797.297297297293</v>
      </c>
      <c r="I391" s="19" t="s">
        <v>654</v>
      </c>
      <c r="J391" s="19" t="s">
        <v>655</v>
      </c>
      <c r="K391" s="32" t="s">
        <v>656</v>
      </c>
      <c r="L391" s="22"/>
      <c r="M391" s="22"/>
      <c r="N391" s="22"/>
      <c r="O391" s="20" t="s">
        <v>15</v>
      </c>
      <c r="P391" s="25" t="s">
        <v>16</v>
      </c>
      <c r="Q391" s="16">
        <v>2958465</v>
      </c>
    </row>
    <row r="392" spans="1:17">
      <c r="A392" s="11">
        <f t="shared" si="6"/>
        <v>391</v>
      </c>
      <c r="B392" s="11">
        <v>8010071392</v>
      </c>
      <c r="C392" s="25" t="s">
        <v>660</v>
      </c>
      <c r="D392" s="27">
        <v>166400</v>
      </c>
      <c r="E392" s="11">
        <v>0.51</v>
      </c>
      <c r="F392" s="11" t="s">
        <v>11</v>
      </c>
      <c r="G392" s="44">
        <v>84864</v>
      </c>
      <c r="H392" s="28">
        <v>76454.054054054053</v>
      </c>
      <c r="I392" s="19" t="s">
        <v>654</v>
      </c>
      <c r="J392" s="19" t="s">
        <v>655</v>
      </c>
      <c r="K392" s="32" t="s">
        <v>656</v>
      </c>
      <c r="L392" s="22"/>
      <c r="M392" s="22"/>
      <c r="N392" s="22"/>
      <c r="O392" s="20" t="s">
        <v>15</v>
      </c>
      <c r="P392" s="25" t="s">
        <v>16</v>
      </c>
      <c r="Q392" s="16">
        <v>2958465</v>
      </c>
    </row>
    <row r="393" spans="1:17">
      <c r="A393" s="11">
        <f t="shared" si="6"/>
        <v>392</v>
      </c>
      <c r="B393" s="11">
        <v>8010071393</v>
      </c>
      <c r="C393" s="25" t="s">
        <v>661</v>
      </c>
      <c r="D393" s="27">
        <v>250800</v>
      </c>
      <c r="E393" s="11">
        <v>0.51</v>
      </c>
      <c r="F393" s="11" t="s">
        <v>11</v>
      </c>
      <c r="G393" s="44">
        <v>127908</v>
      </c>
      <c r="H393" s="28">
        <v>115232.43243243243</v>
      </c>
      <c r="I393" s="19" t="s">
        <v>654</v>
      </c>
      <c r="J393" s="19" t="s">
        <v>655</v>
      </c>
      <c r="K393" s="32" t="s">
        <v>656</v>
      </c>
      <c r="L393" s="22"/>
      <c r="M393" s="22"/>
      <c r="N393" s="22"/>
      <c r="O393" s="20" t="s">
        <v>15</v>
      </c>
      <c r="P393" s="25" t="s">
        <v>16</v>
      </c>
      <c r="Q393" s="16">
        <v>2958465</v>
      </c>
    </row>
    <row r="394" spans="1:17">
      <c r="A394" s="11">
        <f t="shared" si="6"/>
        <v>393</v>
      </c>
      <c r="B394" s="11">
        <v>8010071394</v>
      </c>
      <c r="C394" s="25" t="s">
        <v>662</v>
      </c>
      <c r="D394" s="27">
        <v>17700</v>
      </c>
      <c r="E394" s="11">
        <v>0.51</v>
      </c>
      <c r="F394" s="11" t="s">
        <v>11</v>
      </c>
      <c r="G394" s="44">
        <v>9027</v>
      </c>
      <c r="H394" s="28">
        <v>8132.4324324324316</v>
      </c>
      <c r="I394" s="19" t="s">
        <v>654</v>
      </c>
      <c r="J394" s="19" t="s">
        <v>655</v>
      </c>
      <c r="K394" s="32" t="s">
        <v>656</v>
      </c>
      <c r="L394" s="22"/>
      <c r="M394" s="22"/>
      <c r="N394" s="22"/>
      <c r="O394" s="20" t="s">
        <v>15</v>
      </c>
      <c r="P394" s="25" t="s">
        <v>16</v>
      </c>
      <c r="Q394" s="16">
        <v>2958465</v>
      </c>
    </row>
    <row r="395" spans="1:17">
      <c r="A395" s="11">
        <f t="shared" si="6"/>
        <v>394</v>
      </c>
      <c r="B395" s="11">
        <v>8010071395</v>
      </c>
      <c r="C395" s="25" t="s">
        <v>663</v>
      </c>
      <c r="D395" s="27">
        <v>24700</v>
      </c>
      <c r="E395" s="11">
        <v>0.51</v>
      </c>
      <c r="F395" s="11" t="s">
        <v>11</v>
      </c>
      <c r="G395" s="44">
        <v>12597</v>
      </c>
      <c r="H395" s="28">
        <v>11348.648648648648</v>
      </c>
      <c r="I395" s="19" t="s">
        <v>654</v>
      </c>
      <c r="J395" s="19" t="s">
        <v>655</v>
      </c>
      <c r="K395" s="32" t="s">
        <v>656</v>
      </c>
      <c r="L395" s="22"/>
      <c r="M395" s="22"/>
      <c r="N395" s="22"/>
      <c r="O395" s="20" t="s">
        <v>15</v>
      </c>
      <c r="P395" s="25" t="s">
        <v>16</v>
      </c>
      <c r="Q395" s="16">
        <v>2958465</v>
      </c>
    </row>
    <row r="396" spans="1:17">
      <c r="A396" s="11">
        <f t="shared" si="6"/>
        <v>395</v>
      </c>
      <c r="B396" s="11">
        <v>8010071396</v>
      </c>
      <c r="C396" s="25" t="s">
        <v>742</v>
      </c>
      <c r="D396" s="27">
        <v>80700</v>
      </c>
      <c r="E396" s="11">
        <v>0.51</v>
      </c>
      <c r="F396" s="11" t="s">
        <v>11</v>
      </c>
      <c r="G396" s="44">
        <v>41157</v>
      </c>
      <c r="H396" s="28">
        <v>37078.378378378373</v>
      </c>
      <c r="I396" s="19" t="s">
        <v>654</v>
      </c>
      <c r="J396" s="19" t="s">
        <v>655</v>
      </c>
      <c r="K396" s="32" t="s">
        <v>656</v>
      </c>
      <c r="L396" s="22"/>
      <c r="M396" s="22"/>
      <c r="N396" s="22"/>
      <c r="O396" s="20" t="s">
        <v>15</v>
      </c>
      <c r="P396" s="25" t="s">
        <v>16</v>
      </c>
      <c r="Q396" s="16">
        <v>2958465</v>
      </c>
    </row>
    <row r="397" spans="1:17">
      <c r="A397" s="11">
        <f t="shared" si="6"/>
        <v>396</v>
      </c>
      <c r="B397" s="11">
        <v>8010071397</v>
      </c>
      <c r="C397" s="25" t="s">
        <v>664</v>
      </c>
      <c r="D397" s="27">
        <v>25300</v>
      </c>
      <c r="E397" s="11">
        <v>0.51</v>
      </c>
      <c r="F397" s="11" t="s">
        <v>11</v>
      </c>
      <c r="G397" s="44">
        <v>12903</v>
      </c>
      <c r="H397" s="28">
        <v>11624.324324324323</v>
      </c>
      <c r="I397" s="19" t="s">
        <v>654</v>
      </c>
      <c r="J397" s="19" t="s">
        <v>655</v>
      </c>
      <c r="K397" s="32" t="s">
        <v>656</v>
      </c>
      <c r="L397" s="22"/>
      <c r="M397" s="22"/>
      <c r="N397" s="22"/>
      <c r="O397" s="20" t="s">
        <v>15</v>
      </c>
      <c r="P397" s="25" t="s">
        <v>16</v>
      </c>
      <c r="Q397" s="16">
        <v>2958465</v>
      </c>
    </row>
    <row r="398" spans="1:17">
      <c r="A398" s="11">
        <f t="shared" si="6"/>
        <v>397</v>
      </c>
      <c r="B398" s="11">
        <v>8010071398</v>
      </c>
      <c r="C398" s="25" t="s">
        <v>665</v>
      </c>
      <c r="D398" s="27">
        <v>26000</v>
      </c>
      <c r="E398" s="11">
        <v>0.51</v>
      </c>
      <c r="F398" s="11" t="s">
        <v>11</v>
      </c>
      <c r="G398" s="44">
        <v>13260</v>
      </c>
      <c r="H398" s="28">
        <v>11945.945945945945</v>
      </c>
      <c r="I398" s="19" t="s">
        <v>654</v>
      </c>
      <c r="J398" s="19" t="s">
        <v>655</v>
      </c>
      <c r="K398" s="32" t="s">
        <v>656</v>
      </c>
      <c r="L398" s="22"/>
      <c r="M398" s="22"/>
      <c r="N398" s="22"/>
      <c r="O398" s="20" t="s">
        <v>15</v>
      </c>
      <c r="P398" s="25" t="s">
        <v>16</v>
      </c>
      <c r="Q398" s="16">
        <v>2958465</v>
      </c>
    </row>
    <row r="399" spans="1:17">
      <c r="A399" s="11">
        <f t="shared" si="6"/>
        <v>398</v>
      </c>
      <c r="B399" s="11">
        <v>8010071399</v>
      </c>
      <c r="C399" s="25" t="s">
        <v>666</v>
      </c>
      <c r="D399" s="27">
        <v>31900</v>
      </c>
      <c r="E399" s="11">
        <v>0.51</v>
      </c>
      <c r="F399" s="11" t="s">
        <v>11</v>
      </c>
      <c r="G399" s="44">
        <v>16269</v>
      </c>
      <c r="H399" s="28">
        <v>14656.756756756755</v>
      </c>
      <c r="I399" s="19" t="s">
        <v>654</v>
      </c>
      <c r="J399" s="19" t="s">
        <v>655</v>
      </c>
      <c r="K399" s="32" t="s">
        <v>656</v>
      </c>
      <c r="L399" s="22"/>
      <c r="M399" s="22"/>
      <c r="N399" s="22"/>
      <c r="O399" s="20" t="s">
        <v>15</v>
      </c>
      <c r="P399" s="25" t="s">
        <v>16</v>
      </c>
      <c r="Q399" s="16">
        <v>2958465</v>
      </c>
    </row>
    <row r="400" spans="1:17">
      <c r="A400" s="11">
        <f t="shared" si="6"/>
        <v>399</v>
      </c>
      <c r="B400" s="11">
        <v>8010071400</v>
      </c>
      <c r="C400" s="25" t="s">
        <v>667</v>
      </c>
      <c r="D400" s="27">
        <v>110100</v>
      </c>
      <c r="E400" s="11">
        <v>0.51</v>
      </c>
      <c r="F400" s="11" t="s">
        <v>11</v>
      </c>
      <c r="G400" s="44">
        <v>56151</v>
      </c>
      <c r="H400" s="28">
        <v>50586.486486486479</v>
      </c>
      <c r="I400" s="19" t="s">
        <v>654</v>
      </c>
      <c r="J400" s="19" t="s">
        <v>655</v>
      </c>
      <c r="K400" s="32" t="s">
        <v>656</v>
      </c>
      <c r="L400" s="22"/>
      <c r="M400" s="22"/>
      <c r="N400" s="22"/>
      <c r="O400" s="20" t="s">
        <v>15</v>
      </c>
      <c r="P400" s="25" t="s">
        <v>16</v>
      </c>
      <c r="Q400" s="16">
        <v>2958465</v>
      </c>
    </row>
    <row r="401" spans="1:17">
      <c r="A401" s="11">
        <f t="shared" si="6"/>
        <v>400</v>
      </c>
      <c r="B401" s="11">
        <v>8010071401</v>
      </c>
      <c r="C401" s="25" t="s">
        <v>842</v>
      </c>
      <c r="D401" s="27">
        <v>2800</v>
      </c>
      <c r="E401" s="11">
        <v>0.43</v>
      </c>
      <c r="F401" s="11" t="s">
        <v>11</v>
      </c>
      <c r="G401" s="44">
        <v>1204</v>
      </c>
      <c r="H401" s="28">
        <v>1084.6846846846845</v>
      </c>
      <c r="I401" s="19" t="s">
        <v>654</v>
      </c>
      <c r="J401" s="19" t="s">
        <v>655</v>
      </c>
      <c r="K401" s="32" t="s">
        <v>834</v>
      </c>
      <c r="L401" s="22"/>
      <c r="M401" s="22"/>
      <c r="N401" s="22"/>
      <c r="O401" s="20" t="s">
        <v>15</v>
      </c>
      <c r="P401" s="25" t="s">
        <v>16</v>
      </c>
      <c r="Q401" s="16">
        <v>2958465</v>
      </c>
    </row>
    <row r="402" spans="1:17">
      <c r="A402" s="11">
        <f t="shared" si="6"/>
        <v>401</v>
      </c>
      <c r="B402" s="11">
        <v>8010071402</v>
      </c>
      <c r="C402" s="25" t="s">
        <v>843</v>
      </c>
      <c r="D402" s="27">
        <v>4500</v>
      </c>
      <c r="E402" s="11">
        <v>0.43</v>
      </c>
      <c r="F402" s="11" t="s">
        <v>11</v>
      </c>
      <c r="G402" s="44">
        <v>1935</v>
      </c>
      <c r="H402" s="28">
        <v>1743.2432432432431</v>
      </c>
      <c r="I402" s="19" t="s">
        <v>654</v>
      </c>
      <c r="J402" s="19" t="s">
        <v>655</v>
      </c>
      <c r="K402" s="32" t="s">
        <v>834</v>
      </c>
      <c r="L402" s="22"/>
      <c r="M402" s="22"/>
      <c r="N402" s="22"/>
      <c r="O402" s="20" t="s">
        <v>15</v>
      </c>
      <c r="P402" s="25" t="s">
        <v>16</v>
      </c>
      <c r="Q402" s="16">
        <v>2958465</v>
      </c>
    </row>
    <row r="403" spans="1:17">
      <c r="A403" s="11">
        <f t="shared" si="6"/>
        <v>402</v>
      </c>
      <c r="B403" s="11">
        <v>8010071403</v>
      </c>
      <c r="C403" s="25" t="s">
        <v>867</v>
      </c>
      <c r="D403" s="27">
        <v>8900</v>
      </c>
      <c r="E403" s="11">
        <v>0.43</v>
      </c>
      <c r="F403" s="11" t="s">
        <v>11</v>
      </c>
      <c r="G403" s="44">
        <v>3827</v>
      </c>
      <c r="H403" s="28">
        <v>3447.7477477477473</v>
      </c>
      <c r="I403" s="19" t="s">
        <v>654</v>
      </c>
      <c r="J403" s="19" t="s">
        <v>655</v>
      </c>
      <c r="K403" s="32" t="s">
        <v>834</v>
      </c>
      <c r="L403" s="22"/>
      <c r="M403" s="22"/>
      <c r="N403" s="22"/>
      <c r="O403" s="20" t="s">
        <v>15</v>
      </c>
      <c r="P403" s="25" t="s">
        <v>16</v>
      </c>
      <c r="Q403" s="16">
        <v>2958465</v>
      </c>
    </row>
    <row r="404" spans="1:17">
      <c r="A404" s="11">
        <f t="shared" si="6"/>
        <v>403</v>
      </c>
      <c r="B404" s="11">
        <v>8010071404</v>
      </c>
      <c r="C404" s="25" t="s">
        <v>891</v>
      </c>
      <c r="D404" s="27">
        <v>15200</v>
      </c>
      <c r="E404" s="11">
        <v>0.43</v>
      </c>
      <c r="F404" s="11" t="s">
        <v>11</v>
      </c>
      <c r="G404" s="44">
        <v>6536</v>
      </c>
      <c r="H404" s="28">
        <v>5888.2882882882877</v>
      </c>
      <c r="I404" s="19" t="s">
        <v>654</v>
      </c>
      <c r="J404" s="19" t="s">
        <v>655</v>
      </c>
      <c r="K404" s="32" t="s">
        <v>834</v>
      </c>
      <c r="L404" s="22"/>
      <c r="M404" s="22"/>
      <c r="N404" s="22"/>
      <c r="O404" s="20" t="s">
        <v>15</v>
      </c>
      <c r="P404" s="25" t="s">
        <v>16</v>
      </c>
      <c r="Q404" s="16">
        <v>2958465</v>
      </c>
    </row>
    <row r="405" spans="1:17">
      <c r="A405" s="11">
        <f t="shared" si="6"/>
        <v>404</v>
      </c>
      <c r="B405" s="11">
        <v>8010071405</v>
      </c>
      <c r="C405" s="25" t="s">
        <v>892</v>
      </c>
      <c r="D405" s="27">
        <v>27600</v>
      </c>
      <c r="E405" s="11">
        <v>0.43</v>
      </c>
      <c r="F405" s="11" t="s">
        <v>11</v>
      </c>
      <c r="G405" s="44">
        <v>11868</v>
      </c>
      <c r="H405" s="28">
        <v>10691.891891891892</v>
      </c>
      <c r="I405" s="19" t="s">
        <v>654</v>
      </c>
      <c r="J405" s="19" t="s">
        <v>655</v>
      </c>
      <c r="K405" s="32" t="s">
        <v>834</v>
      </c>
      <c r="L405" s="22"/>
      <c r="M405" s="22"/>
      <c r="N405" s="22"/>
      <c r="O405" s="20" t="s">
        <v>15</v>
      </c>
      <c r="P405" s="25" t="s">
        <v>16</v>
      </c>
      <c r="Q405" s="16">
        <v>2958465</v>
      </c>
    </row>
    <row r="406" spans="1:17">
      <c r="A406" s="11">
        <f t="shared" si="6"/>
        <v>405</v>
      </c>
      <c r="B406" s="11">
        <v>8010071406</v>
      </c>
      <c r="C406" s="25" t="s">
        <v>893</v>
      </c>
      <c r="D406" s="27">
        <v>49900</v>
      </c>
      <c r="E406" s="11">
        <v>0.43</v>
      </c>
      <c r="F406" s="11" t="s">
        <v>11</v>
      </c>
      <c r="G406" s="44">
        <v>21457</v>
      </c>
      <c r="H406" s="28">
        <v>19330.630630630629</v>
      </c>
      <c r="I406" s="19" t="s">
        <v>654</v>
      </c>
      <c r="J406" s="19" t="s">
        <v>655</v>
      </c>
      <c r="K406" s="32" t="s">
        <v>834</v>
      </c>
      <c r="L406" s="22"/>
      <c r="M406" s="22"/>
      <c r="N406" s="22"/>
      <c r="O406" s="20" t="s">
        <v>15</v>
      </c>
      <c r="P406" s="25" t="s">
        <v>16</v>
      </c>
      <c r="Q406" s="16">
        <v>2958465</v>
      </c>
    </row>
    <row r="407" spans="1:17">
      <c r="A407" s="11">
        <f t="shared" si="6"/>
        <v>406</v>
      </c>
      <c r="B407" s="11">
        <v>8010071407</v>
      </c>
      <c r="C407" s="25" t="s">
        <v>894</v>
      </c>
      <c r="D407" s="27">
        <v>77200</v>
      </c>
      <c r="E407" s="11">
        <v>0.43</v>
      </c>
      <c r="F407" s="11" t="s">
        <v>11</v>
      </c>
      <c r="G407" s="44">
        <v>33196</v>
      </c>
      <c r="H407" s="28">
        <v>29906.306306306305</v>
      </c>
      <c r="I407" s="19" t="s">
        <v>654</v>
      </c>
      <c r="J407" s="19" t="s">
        <v>655</v>
      </c>
      <c r="K407" s="32" t="s">
        <v>834</v>
      </c>
      <c r="L407" s="22"/>
      <c r="M407" s="22"/>
      <c r="N407" s="22"/>
      <c r="O407" s="20" t="s">
        <v>15</v>
      </c>
      <c r="P407" s="25" t="s">
        <v>16</v>
      </c>
      <c r="Q407" s="16">
        <v>2958465</v>
      </c>
    </row>
    <row r="408" spans="1:17">
      <c r="A408" s="11">
        <f t="shared" si="6"/>
        <v>407</v>
      </c>
      <c r="B408" s="11">
        <v>8010071408</v>
      </c>
      <c r="C408" s="25" t="s">
        <v>895</v>
      </c>
      <c r="D408" s="27">
        <v>139300</v>
      </c>
      <c r="E408" s="11">
        <v>0.43</v>
      </c>
      <c r="F408" s="11" t="s">
        <v>11</v>
      </c>
      <c r="G408" s="44">
        <v>59899</v>
      </c>
      <c r="H408" s="28">
        <v>53963.063063063055</v>
      </c>
      <c r="I408" s="19" t="s">
        <v>654</v>
      </c>
      <c r="J408" s="19" t="s">
        <v>655</v>
      </c>
      <c r="K408" s="32" t="s">
        <v>834</v>
      </c>
      <c r="L408" s="22"/>
      <c r="M408" s="22"/>
      <c r="N408" s="22"/>
      <c r="O408" s="20" t="s">
        <v>15</v>
      </c>
      <c r="P408" s="25" t="s">
        <v>16</v>
      </c>
      <c r="Q408" s="16">
        <v>2958465</v>
      </c>
    </row>
    <row r="409" spans="1:17">
      <c r="A409" s="11">
        <f t="shared" si="6"/>
        <v>408</v>
      </c>
      <c r="B409" s="11">
        <v>8010071409</v>
      </c>
      <c r="C409" s="25" t="s">
        <v>896</v>
      </c>
      <c r="D409" s="27">
        <v>263900</v>
      </c>
      <c r="E409" s="11">
        <v>0.43</v>
      </c>
      <c r="F409" s="11" t="s">
        <v>11</v>
      </c>
      <c r="G409" s="44">
        <v>113477</v>
      </c>
      <c r="H409" s="28">
        <v>102231.53153153152</v>
      </c>
      <c r="I409" s="19" t="s">
        <v>654</v>
      </c>
      <c r="J409" s="19" t="s">
        <v>655</v>
      </c>
      <c r="K409" s="32" t="s">
        <v>834</v>
      </c>
      <c r="L409" s="22"/>
      <c r="M409" s="22"/>
      <c r="N409" s="22"/>
      <c r="O409" s="20" t="s">
        <v>15</v>
      </c>
      <c r="P409" s="25" t="s">
        <v>16</v>
      </c>
      <c r="Q409" s="16">
        <v>2958465</v>
      </c>
    </row>
    <row r="410" spans="1:17">
      <c r="A410" s="11">
        <f t="shared" si="6"/>
        <v>409</v>
      </c>
      <c r="B410" s="11">
        <v>8010071410</v>
      </c>
      <c r="C410" s="25" t="s">
        <v>897</v>
      </c>
      <c r="D410" s="27">
        <v>819400</v>
      </c>
      <c r="E410" s="11">
        <v>0.43</v>
      </c>
      <c r="F410" s="11" t="s">
        <v>11</v>
      </c>
      <c r="G410" s="44">
        <v>352342</v>
      </c>
      <c r="H410" s="28">
        <v>317425.22522522521</v>
      </c>
      <c r="I410" s="19" t="s">
        <v>654</v>
      </c>
      <c r="J410" s="19" t="s">
        <v>655</v>
      </c>
      <c r="K410" s="32" t="s">
        <v>834</v>
      </c>
      <c r="L410" s="22"/>
      <c r="M410" s="22"/>
      <c r="N410" s="22"/>
      <c r="O410" s="20" t="s">
        <v>15</v>
      </c>
      <c r="P410" s="25" t="s">
        <v>16</v>
      </c>
      <c r="Q410" s="16">
        <v>2958465</v>
      </c>
    </row>
    <row r="411" spans="1:17">
      <c r="A411" s="11">
        <f t="shared" si="6"/>
        <v>410</v>
      </c>
      <c r="B411" s="11">
        <v>8010071411</v>
      </c>
      <c r="C411" s="25" t="s">
        <v>898</v>
      </c>
      <c r="D411" s="27">
        <v>3500</v>
      </c>
      <c r="E411" s="11">
        <v>0.43</v>
      </c>
      <c r="F411" s="11" t="s">
        <v>11</v>
      </c>
      <c r="G411" s="44">
        <v>1505</v>
      </c>
      <c r="H411" s="28">
        <v>1355.8558558558557</v>
      </c>
      <c r="I411" s="19" t="s">
        <v>654</v>
      </c>
      <c r="J411" s="19" t="s">
        <v>655</v>
      </c>
      <c r="K411" s="32" t="s">
        <v>834</v>
      </c>
      <c r="L411" s="22"/>
      <c r="M411" s="22"/>
      <c r="N411" s="22"/>
      <c r="O411" s="20" t="s">
        <v>15</v>
      </c>
      <c r="P411" s="25" t="s">
        <v>16</v>
      </c>
      <c r="Q411" s="16">
        <v>2958465</v>
      </c>
    </row>
    <row r="412" spans="1:17">
      <c r="A412" s="11">
        <f t="shared" si="6"/>
        <v>411</v>
      </c>
      <c r="B412" s="11">
        <v>8010071412</v>
      </c>
      <c r="C412" s="25" t="s">
        <v>899</v>
      </c>
      <c r="D412" s="27">
        <v>5600</v>
      </c>
      <c r="E412" s="11">
        <v>0.43</v>
      </c>
      <c r="F412" s="11" t="s">
        <v>11</v>
      </c>
      <c r="G412" s="44">
        <v>2408</v>
      </c>
      <c r="H412" s="28">
        <v>2169.369369369369</v>
      </c>
      <c r="I412" s="19" t="s">
        <v>654</v>
      </c>
      <c r="J412" s="19" t="s">
        <v>655</v>
      </c>
      <c r="K412" s="32" t="s">
        <v>834</v>
      </c>
      <c r="L412" s="22"/>
      <c r="M412" s="22"/>
      <c r="N412" s="22"/>
      <c r="O412" s="20" t="s">
        <v>15</v>
      </c>
      <c r="P412" s="25" t="s">
        <v>16</v>
      </c>
      <c r="Q412" s="16">
        <v>2958465</v>
      </c>
    </row>
    <row r="413" spans="1:17">
      <c r="A413" s="11">
        <f t="shared" si="6"/>
        <v>412</v>
      </c>
      <c r="B413" s="11">
        <v>8010071413</v>
      </c>
      <c r="C413" s="25" t="s">
        <v>900</v>
      </c>
      <c r="D413" s="27">
        <v>10700</v>
      </c>
      <c r="E413" s="11">
        <v>0.43</v>
      </c>
      <c r="F413" s="11" t="s">
        <v>11</v>
      </c>
      <c r="G413" s="44">
        <v>4601</v>
      </c>
      <c r="H413" s="28">
        <v>4145.0450450450444</v>
      </c>
      <c r="I413" s="19" t="s">
        <v>654</v>
      </c>
      <c r="J413" s="19" t="s">
        <v>655</v>
      </c>
      <c r="K413" s="32" t="s">
        <v>834</v>
      </c>
      <c r="L413" s="22"/>
      <c r="M413" s="22"/>
      <c r="N413" s="22"/>
      <c r="O413" s="20" t="s">
        <v>15</v>
      </c>
      <c r="P413" s="25" t="s">
        <v>16</v>
      </c>
      <c r="Q413" s="16">
        <v>2958465</v>
      </c>
    </row>
    <row r="414" spans="1:17">
      <c r="A414" s="11">
        <f t="shared" si="6"/>
        <v>413</v>
      </c>
      <c r="B414" s="11">
        <v>8010071414</v>
      </c>
      <c r="C414" s="25" t="s">
        <v>901</v>
      </c>
      <c r="D414" s="27">
        <v>18400</v>
      </c>
      <c r="E414" s="11">
        <v>0.43</v>
      </c>
      <c r="F414" s="11" t="s">
        <v>11</v>
      </c>
      <c r="G414" s="44">
        <v>7912</v>
      </c>
      <c r="H414" s="28">
        <v>7127.9279279279272</v>
      </c>
      <c r="I414" s="19" t="s">
        <v>654</v>
      </c>
      <c r="J414" s="19" t="s">
        <v>655</v>
      </c>
      <c r="K414" s="32" t="s">
        <v>834</v>
      </c>
      <c r="L414" s="22"/>
      <c r="M414" s="22"/>
      <c r="N414" s="22"/>
      <c r="O414" s="20" t="s">
        <v>15</v>
      </c>
      <c r="P414" s="25" t="s">
        <v>16</v>
      </c>
      <c r="Q414" s="16">
        <v>2958465</v>
      </c>
    </row>
    <row r="415" spans="1:17">
      <c r="A415" s="11">
        <f t="shared" si="6"/>
        <v>414</v>
      </c>
      <c r="B415" s="11">
        <v>8010071415</v>
      </c>
      <c r="C415" s="25" t="s">
        <v>902</v>
      </c>
      <c r="D415" s="27">
        <v>34100</v>
      </c>
      <c r="E415" s="11">
        <v>0.43</v>
      </c>
      <c r="F415" s="11" t="s">
        <v>11</v>
      </c>
      <c r="G415" s="44">
        <v>14663</v>
      </c>
      <c r="H415" s="28">
        <v>13209.909909909909</v>
      </c>
      <c r="I415" s="19" t="s">
        <v>654</v>
      </c>
      <c r="J415" s="19" t="s">
        <v>655</v>
      </c>
      <c r="K415" s="32" t="s">
        <v>834</v>
      </c>
      <c r="L415" s="22"/>
      <c r="M415" s="22"/>
      <c r="N415" s="22"/>
      <c r="O415" s="20" t="s">
        <v>15</v>
      </c>
      <c r="P415" s="25" t="s">
        <v>16</v>
      </c>
      <c r="Q415" s="16">
        <v>2958465</v>
      </c>
    </row>
    <row r="416" spans="1:17">
      <c r="A416" s="11">
        <f t="shared" si="6"/>
        <v>415</v>
      </c>
      <c r="B416" s="11">
        <v>8010071416</v>
      </c>
      <c r="C416" s="25" t="s">
        <v>903</v>
      </c>
      <c r="D416" s="27">
        <v>60700</v>
      </c>
      <c r="E416" s="11">
        <v>0.43</v>
      </c>
      <c r="F416" s="11" t="s">
        <v>11</v>
      </c>
      <c r="G416" s="44">
        <v>26101</v>
      </c>
      <c r="H416" s="28">
        <v>23514.414414414412</v>
      </c>
      <c r="I416" s="19" t="s">
        <v>654</v>
      </c>
      <c r="J416" s="19" t="s">
        <v>655</v>
      </c>
      <c r="K416" s="32" t="s">
        <v>834</v>
      </c>
      <c r="L416" s="22"/>
      <c r="M416" s="22"/>
      <c r="N416" s="22"/>
      <c r="O416" s="20" t="s">
        <v>15</v>
      </c>
      <c r="P416" s="25" t="s">
        <v>16</v>
      </c>
      <c r="Q416" s="16">
        <v>2958465</v>
      </c>
    </row>
    <row r="417" spans="1:17">
      <c r="A417" s="11">
        <f t="shared" si="6"/>
        <v>416</v>
      </c>
      <c r="B417" s="11">
        <v>8010071417</v>
      </c>
      <c r="C417" s="25" t="s">
        <v>904</v>
      </c>
      <c r="D417" s="27">
        <v>95000</v>
      </c>
      <c r="E417" s="11">
        <v>0.43</v>
      </c>
      <c r="F417" s="11" t="s">
        <v>11</v>
      </c>
      <c r="G417" s="44">
        <v>40850</v>
      </c>
      <c r="H417" s="28">
        <v>36801.801801801797</v>
      </c>
      <c r="I417" s="19" t="s">
        <v>654</v>
      </c>
      <c r="J417" s="19" t="s">
        <v>655</v>
      </c>
      <c r="K417" s="32" t="s">
        <v>834</v>
      </c>
      <c r="L417" s="22"/>
      <c r="M417" s="22"/>
      <c r="N417" s="22"/>
      <c r="O417" s="20" t="s">
        <v>15</v>
      </c>
      <c r="P417" s="25" t="s">
        <v>16</v>
      </c>
      <c r="Q417" s="16">
        <v>2958465</v>
      </c>
    </row>
    <row r="418" spans="1:17">
      <c r="A418" s="11">
        <f t="shared" si="6"/>
        <v>417</v>
      </c>
      <c r="B418" s="11">
        <v>8010071418</v>
      </c>
      <c r="C418" s="25" t="s">
        <v>905</v>
      </c>
      <c r="D418" s="27">
        <v>166300</v>
      </c>
      <c r="E418" s="11">
        <v>0.43</v>
      </c>
      <c r="F418" s="11" t="s">
        <v>11</v>
      </c>
      <c r="G418" s="44">
        <v>71509</v>
      </c>
      <c r="H418" s="28">
        <v>64422.522522522515</v>
      </c>
      <c r="I418" s="19" t="s">
        <v>654</v>
      </c>
      <c r="J418" s="19" t="s">
        <v>655</v>
      </c>
      <c r="K418" s="32" t="s">
        <v>834</v>
      </c>
      <c r="L418" s="22"/>
      <c r="M418" s="22"/>
      <c r="N418" s="22"/>
      <c r="O418" s="20" t="s">
        <v>15</v>
      </c>
      <c r="P418" s="25" t="s">
        <v>16</v>
      </c>
      <c r="Q418" s="16">
        <v>2958465</v>
      </c>
    </row>
    <row r="419" spans="1:17">
      <c r="A419" s="11">
        <f t="shared" si="6"/>
        <v>418</v>
      </c>
      <c r="B419" s="11">
        <v>8010071419</v>
      </c>
      <c r="C419" s="25" t="s">
        <v>906</v>
      </c>
      <c r="D419" s="27">
        <v>302800</v>
      </c>
      <c r="E419" s="11">
        <v>0.43</v>
      </c>
      <c r="F419" s="11" t="s">
        <v>11</v>
      </c>
      <c r="G419" s="44">
        <v>130204</v>
      </c>
      <c r="H419" s="28">
        <v>117300.90090090089</v>
      </c>
      <c r="I419" s="19" t="s">
        <v>654</v>
      </c>
      <c r="J419" s="19" t="s">
        <v>655</v>
      </c>
      <c r="K419" s="32" t="s">
        <v>834</v>
      </c>
      <c r="L419" s="22"/>
      <c r="M419" s="22"/>
      <c r="N419" s="22"/>
      <c r="O419" s="20" t="s">
        <v>15</v>
      </c>
      <c r="P419" s="25" t="s">
        <v>16</v>
      </c>
      <c r="Q419" s="16">
        <v>2958465</v>
      </c>
    </row>
    <row r="420" spans="1:17">
      <c r="A420" s="11">
        <f t="shared" si="6"/>
        <v>419</v>
      </c>
      <c r="B420" s="11">
        <v>8010071420</v>
      </c>
      <c r="C420" s="25" t="s">
        <v>907</v>
      </c>
      <c r="D420" s="27">
        <v>1062800</v>
      </c>
      <c r="E420" s="11">
        <v>0.43</v>
      </c>
      <c r="F420" s="11" t="s">
        <v>11</v>
      </c>
      <c r="G420" s="44">
        <v>457004</v>
      </c>
      <c r="H420" s="28">
        <v>411715.31531531527</v>
      </c>
      <c r="I420" s="19" t="s">
        <v>654</v>
      </c>
      <c r="J420" s="19" t="s">
        <v>655</v>
      </c>
      <c r="K420" s="32" t="s">
        <v>834</v>
      </c>
      <c r="L420" s="22"/>
      <c r="M420" s="22"/>
      <c r="N420" s="22"/>
      <c r="O420" s="20" t="s">
        <v>15</v>
      </c>
      <c r="P420" s="25" t="s">
        <v>16</v>
      </c>
      <c r="Q420" s="16">
        <v>2958465</v>
      </c>
    </row>
    <row r="421" spans="1:17">
      <c r="A421" s="11">
        <f t="shared" si="6"/>
        <v>420</v>
      </c>
      <c r="B421" s="11">
        <v>8010071421</v>
      </c>
      <c r="C421" s="25" t="s">
        <v>908</v>
      </c>
      <c r="D421" s="27">
        <v>1700</v>
      </c>
      <c r="E421" s="11">
        <v>0.43</v>
      </c>
      <c r="F421" s="11" t="s">
        <v>11</v>
      </c>
      <c r="G421" s="44">
        <v>731</v>
      </c>
      <c r="H421" s="28">
        <v>658.5585585585585</v>
      </c>
      <c r="I421" s="19" t="s">
        <v>654</v>
      </c>
      <c r="J421" s="19" t="s">
        <v>655</v>
      </c>
      <c r="K421" s="32" t="s">
        <v>834</v>
      </c>
      <c r="L421" s="22"/>
      <c r="M421" s="22"/>
      <c r="N421" s="22"/>
      <c r="O421" s="20" t="s">
        <v>15</v>
      </c>
      <c r="P421" s="25" t="s">
        <v>16</v>
      </c>
      <c r="Q421" s="16">
        <v>2958465</v>
      </c>
    </row>
    <row r="422" spans="1:17">
      <c r="A422" s="11">
        <f t="shared" si="6"/>
        <v>421</v>
      </c>
      <c r="B422" s="11">
        <v>8010071422</v>
      </c>
      <c r="C422" s="25" t="s">
        <v>909</v>
      </c>
      <c r="D422" s="27">
        <v>2400</v>
      </c>
      <c r="E422" s="11">
        <v>0.43</v>
      </c>
      <c r="F422" s="11" t="s">
        <v>11</v>
      </c>
      <c r="G422" s="44">
        <v>1032</v>
      </c>
      <c r="H422" s="28">
        <v>929.72972972972968</v>
      </c>
      <c r="I422" s="19" t="s">
        <v>654</v>
      </c>
      <c r="J422" s="19" t="s">
        <v>655</v>
      </c>
      <c r="K422" s="32" t="s">
        <v>834</v>
      </c>
      <c r="L422" s="22"/>
      <c r="M422" s="22"/>
      <c r="N422" s="22"/>
      <c r="O422" s="20" t="s">
        <v>15</v>
      </c>
      <c r="P422" s="25" t="s">
        <v>16</v>
      </c>
      <c r="Q422" s="16">
        <v>2958465</v>
      </c>
    </row>
    <row r="423" spans="1:17">
      <c r="A423" s="11">
        <f t="shared" si="6"/>
        <v>422</v>
      </c>
      <c r="B423" s="11">
        <v>8010071423</v>
      </c>
      <c r="C423" s="25" t="s">
        <v>910</v>
      </c>
      <c r="D423" s="27">
        <v>3700</v>
      </c>
      <c r="E423" s="11">
        <v>0.43</v>
      </c>
      <c r="F423" s="11" t="s">
        <v>11</v>
      </c>
      <c r="G423" s="44">
        <v>1591</v>
      </c>
      <c r="H423" s="28">
        <v>1433.3333333333333</v>
      </c>
      <c r="I423" s="19" t="s">
        <v>654</v>
      </c>
      <c r="J423" s="19" t="s">
        <v>655</v>
      </c>
      <c r="K423" s="32" t="s">
        <v>834</v>
      </c>
      <c r="L423" s="22"/>
      <c r="M423" s="22"/>
      <c r="N423" s="22"/>
      <c r="O423" s="20" t="s">
        <v>15</v>
      </c>
      <c r="P423" s="25" t="s">
        <v>16</v>
      </c>
      <c r="Q423" s="16">
        <v>2958465</v>
      </c>
    </row>
    <row r="424" spans="1:17">
      <c r="A424" s="11">
        <f t="shared" si="6"/>
        <v>423</v>
      </c>
      <c r="B424" s="11">
        <v>8010071424</v>
      </c>
      <c r="C424" s="25" t="s">
        <v>911</v>
      </c>
      <c r="D424" s="27">
        <v>7500</v>
      </c>
      <c r="E424" s="11">
        <v>0.43</v>
      </c>
      <c r="F424" s="11" t="s">
        <v>11</v>
      </c>
      <c r="G424" s="44">
        <v>3225</v>
      </c>
      <c r="H424" s="28">
        <v>2905.405405405405</v>
      </c>
      <c r="I424" s="19" t="s">
        <v>654</v>
      </c>
      <c r="J424" s="19" t="s">
        <v>655</v>
      </c>
      <c r="K424" s="32" t="s">
        <v>834</v>
      </c>
      <c r="L424" s="22"/>
      <c r="M424" s="22"/>
      <c r="N424" s="22"/>
      <c r="O424" s="20" t="s">
        <v>15</v>
      </c>
      <c r="P424" s="25" t="s">
        <v>16</v>
      </c>
      <c r="Q424" s="16">
        <v>2958465</v>
      </c>
    </row>
    <row r="425" spans="1:17">
      <c r="A425" s="11">
        <f t="shared" si="6"/>
        <v>424</v>
      </c>
      <c r="B425" s="11">
        <v>8010071425</v>
      </c>
      <c r="C425" s="25" t="s">
        <v>912</v>
      </c>
      <c r="D425" s="27">
        <v>15200</v>
      </c>
      <c r="E425" s="11">
        <v>0.43</v>
      </c>
      <c r="F425" s="11" t="s">
        <v>11</v>
      </c>
      <c r="G425" s="44">
        <v>6536</v>
      </c>
      <c r="H425" s="28">
        <v>5888.2882882882877</v>
      </c>
      <c r="I425" s="19" t="s">
        <v>654</v>
      </c>
      <c r="J425" s="19" t="s">
        <v>655</v>
      </c>
      <c r="K425" s="32" t="s">
        <v>834</v>
      </c>
      <c r="L425" s="22"/>
      <c r="M425" s="22"/>
      <c r="N425" s="22"/>
      <c r="O425" s="20" t="s">
        <v>15</v>
      </c>
      <c r="P425" s="25" t="s">
        <v>16</v>
      </c>
      <c r="Q425" s="16">
        <v>2958465</v>
      </c>
    </row>
    <row r="426" spans="1:17">
      <c r="A426" s="11">
        <f t="shared" si="6"/>
        <v>425</v>
      </c>
      <c r="B426" s="11">
        <v>8010071426</v>
      </c>
      <c r="C426" s="25" t="s">
        <v>890</v>
      </c>
      <c r="D426" s="27">
        <v>25800</v>
      </c>
      <c r="E426" s="11">
        <v>0.43</v>
      </c>
      <c r="F426" s="11" t="s">
        <v>11</v>
      </c>
      <c r="G426" s="44">
        <v>11094</v>
      </c>
      <c r="H426" s="28">
        <v>9994.5945945945932</v>
      </c>
      <c r="I426" s="19" t="s">
        <v>654</v>
      </c>
      <c r="J426" s="19" t="s">
        <v>655</v>
      </c>
      <c r="K426" s="32" t="s">
        <v>834</v>
      </c>
      <c r="L426" s="22"/>
      <c r="M426" s="22"/>
      <c r="N426" s="22"/>
      <c r="O426" s="20" t="s">
        <v>15</v>
      </c>
      <c r="P426" s="25" t="s">
        <v>16</v>
      </c>
      <c r="Q426" s="16">
        <v>2958465</v>
      </c>
    </row>
    <row r="427" spans="1:17">
      <c r="A427" s="11">
        <f t="shared" si="6"/>
        <v>426</v>
      </c>
      <c r="B427" s="11">
        <v>8010071427</v>
      </c>
      <c r="C427" s="25" t="s">
        <v>868</v>
      </c>
      <c r="D427" s="27">
        <v>47500</v>
      </c>
      <c r="E427" s="11">
        <v>0.43</v>
      </c>
      <c r="F427" s="11" t="s">
        <v>11</v>
      </c>
      <c r="G427" s="44">
        <v>20425</v>
      </c>
      <c r="H427" s="28">
        <v>18400.900900900899</v>
      </c>
      <c r="I427" s="19" t="s">
        <v>654</v>
      </c>
      <c r="J427" s="19" t="s">
        <v>655</v>
      </c>
      <c r="K427" s="32" t="s">
        <v>834</v>
      </c>
      <c r="L427" s="22"/>
      <c r="M427" s="22"/>
      <c r="N427" s="22"/>
      <c r="O427" s="20" t="s">
        <v>15</v>
      </c>
      <c r="P427" s="25" t="s">
        <v>16</v>
      </c>
      <c r="Q427" s="16">
        <v>2958465</v>
      </c>
    </row>
    <row r="428" spans="1:17">
      <c r="A428" s="11">
        <f t="shared" si="6"/>
        <v>427</v>
      </c>
      <c r="B428" s="11">
        <v>8010071428</v>
      </c>
      <c r="C428" s="25" t="s">
        <v>869</v>
      </c>
      <c r="D428" s="27">
        <v>57000</v>
      </c>
      <c r="E428" s="11">
        <v>0.43</v>
      </c>
      <c r="F428" s="11" t="s">
        <v>11</v>
      </c>
      <c r="G428" s="44">
        <v>24510</v>
      </c>
      <c r="H428" s="28">
        <v>22081.08108108108</v>
      </c>
      <c r="I428" s="19" t="s">
        <v>654</v>
      </c>
      <c r="J428" s="19" t="s">
        <v>655</v>
      </c>
      <c r="K428" s="32" t="s">
        <v>834</v>
      </c>
      <c r="L428" s="22"/>
      <c r="M428" s="22"/>
      <c r="N428" s="22"/>
      <c r="O428" s="20" t="s">
        <v>15</v>
      </c>
      <c r="P428" s="25" t="s">
        <v>16</v>
      </c>
      <c r="Q428" s="16">
        <v>2958465</v>
      </c>
    </row>
    <row r="429" spans="1:17">
      <c r="A429" s="11">
        <f t="shared" si="6"/>
        <v>428</v>
      </c>
      <c r="B429" s="11">
        <v>8010071429</v>
      </c>
      <c r="C429" s="25" t="s">
        <v>870</v>
      </c>
      <c r="D429" s="27">
        <v>148900</v>
      </c>
      <c r="E429" s="11">
        <v>0.43</v>
      </c>
      <c r="F429" s="11" t="s">
        <v>11</v>
      </c>
      <c r="G429" s="44">
        <v>64027</v>
      </c>
      <c r="H429" s="28">
        <v>57681.981981981975</v>
      </c>
      <c r="I429" s="19" t="s">
        <v>654</v>
      </c>
      <c r="J429" s="19" t="s">
        <v>655</v>
      </c>
      <c r="K429" s="32" t="s">
        <v>834</v>
      </c>
      <c r="L429" s="22"/>
      <c r="M429" s="22"/>
      <c r="N429" s="22"/>
      <c r="O429" s="20" t="s">
        <v>15</v>
      </c>
      <c r="P429" s="25" t="s">
        <v>16</v>
      </c>
      <c r="Q429" s="16">
        <v>2958465</v>
      </c>
    </row>
    <row r="430" spans="1:17">
      <c r="A430" s="11">
        <f t="shared" si="6"/>
        <v>429</v>
      </c>
      <c r="B430" s="11">
        <v>8010071430</v>
      </c>
      <c r="C430" s="25" t="s">
        <v>871</v>
      </c>
      <c r="D430" s="27">
        <v>1400</v>
      </c>
      <c r="E430" s="11">
        <v>0.43</v>
      </c>
      <c r="F430" s="11" t="s">
        <v>11</v>
      </c>
      <c r="G430" s="44">
        <v>602</v>
      </c>
      <c r="H430" s="28">
        <v>542.34234234234225</v>
      </c>
      <c r="I430" s="19" t="s">
        <v>654</v>
      </c>
      <c r="J430" s="19" t="s">
        <v>655</v>
      </c>
      <c r="K430" s="32" t="s">
        <v>834</v>
      </c>
      <c r="L430" s="22"/>
      <c r="M430" s="22"/>
      <c r="N430" s="22"/>
      <c r="O430" s="20" t="s">
        <v>15</v>
      </c>
      <c r="P430" s="25" t="s">
        <v>16</v>
      </c>
      <c r="Q430" s="16">
        <v>2958465</v>
      </c>
    </row>
    <row r="431" spans="1:17">
      <c r="A431" s="11">
        <f t="shared" si="6"/>
        <v>430</v>
      </c>
      <c r="B431" s="11">
        <v>8010071431</v>
      </c>
      <c r="C431" s="25" t="s">
        <v>872</v>
      </c>
      <c r="D431" s="27">
        <v>1600</v>
      </c>
      <c r="E431" s="11">
        <v>0.43</v>
      </c>
      <c r="F431" s="11" t="s">
        <v>11</v>
      </c>
      <c r="G431" s="44">
        <v>688</v>
      </c>
      <c r="H431" s="28">
        <v>619.81981981981971</v>
      </c>
      <c r="I431" s="19" t="s">
        <v>654</v>
      </c>
      <c r="J431" s="19" t="s">
        <v>655</v>
      </c>
      <c r="K431" s="32" t="s">
        <v>834</v>
      </c>
      <c r="L431" s="22"/>
      <c r="M431" s="22"/>
      <c r="N431" s="22"/>
      <c r="O431" s="20" t="s">
        <v>15</v>
      </c>
      <c r="P431" s="25" t="s">
        <v>16</v>
      </c>
      <c r="Q431" s="16">
        <v>2958465</v>
      </c>
    </row>
    <row r="432" spans="1:17">
      <c r="A432" s="11">
        <f t="shared" si="6"/>
        <v>431</v>
      </c>
      <c r="B432" s="11">
        <v>8010071432</v>
      </c>
      <c r="C432" s="25" t="s">
        <v>873</v>
      </c>
      <c r="D432" s="27">
        <v>2200</v>
      </c>
      <c r="E432" s="11">
        <v>0.43</v>
      </c>
      <c r="F432" s="11" t="s">
        <v>11</v>
      </c>
      <c r="G432" s="44">
        <v>946</v>
      </c>
      <c r="H432" s="28">
        <v>852.25225225225222</v>
      </c>
      <c r="I432" s="19" t="s">
        <v>654</v>
      </c>
      <c r="J432" s="19" t="s">
        <v>655</v>
      </c>
      <c r="K432" s="32" t="s">
        <v>834</v>
      </c>
      <c r="L432" s="22"/>
      <c r="M432" s="22"/>
      <c r="N432" s="22"/>
      <c r="O432" s="20" t="s">
        <v>15</v>
      </c>
      <c r="P432" s="25" t="s">
        <v>16</v>
      </c>
      <c r="Q432" s="16">
        <v>2958465</v>
      </c>
    </row>
    <row r="433" spans="1:17">
      <c r="A433" s="11">
        <f t="shared" si="6"/>
        <v>432</v>
      </c>
      <c r="B433" s="11">
        <v>8010071433</v>
      </c>
      <c r="C433" s="25" t="s">
        <v>874</v>
      </c>
      <c r="D433" s="27">
        <v>2500</v>
      </c>
      <c r="E433" s="11">
        <v>0.43</v>
      </c>
      <c r="F433" s="11" t="s">
        <v>11</v>
      </c>
      <c r="G433" s="44">
        <v>1075</v>
      </c>
      <c r="H433" s="28">
        <v>968.46846846846836</v>
      </c>
      <c r="I433" s="19" t="s">
        <v>654</v>
      </c>
      <c r="J433" s="19" t="s">
        <v>655</v>
      </c>
      <c r="K433" s="32" t="s">
        <v>834</v>
      </c>
      <c r="L433" s="22"/>
      <c r="M433" s="22"/>
      <c r="N433" s="22"/>
      <c r="O433" s="20" t="s">
        <v>15</v>
      </c>
      <c r="P433" s="25" t="s">
        <v>16</v>
      </c>
      <c r="Q433" s="16">
        <v>2958465</v>
      </c>
    </row>
    <row r="434" spans="1:17">
      <c r="A434" s="11">
        <f t="shared" si="6"/>
        <v>433</v>
      </c>
      <c r="B434" s="11">
        <v>8010071434</v>
      </c>
      <c r="C434" s="25" t="s">
        <v>875</v>
      </c>
      <c r="D434" s="27">
        <v>2900</v>
      </c>
      <c r="E434" s="11">
        <v>0.43</v>
      </c>
      <c r="F434" s="11" t="s">
        <v>11</v>
      </c>
      <c r="G434" s="44">
        <v>1247</v>
      </c>
      <c r="H434" s="28">
        <v>1123.4234234234234</v>
      </c>
      <c r="I434" s="19" t="s">
        <v>654</v>
      </c>
      <c r="J434" s="19" t="s">
        <v>655</v>
      </c>
      <c r="K434" s="32" t="s">
        <v>834</v>
      </c>
      <c r="L434" s="22"/>
      <c r="M434" s="22"/>
      <c r="N434" s="22"/>
      <c r="O434" s="20" t="s">
        <v>15</v>
      </c>
      <c r="P434" s="25" t="s">
        <v>16</v>
      </c>
      <c r="Q434" s="16">
        <v>2958465</v>
      </c>
    </row>
    <row r="435" spans="1:17">
      <c r="A435" s="11">
        <f t="shared" si="6"/>
        <v>434</v>
      </c>
      <c r="B435" s="11">
        <v>8010071435</v>
      </c>
      <c r="C435" s="25" t="s">
        <v>876</v>
      </c>
      <c r="D435" s="27">
        <v>2700</v>
      </c>
      <c r="E435" s="11">
        <v>0.43</v>
      </c>
      <c r="F435" s="11" t="s">
        <v>11</v>
      </c>
      <c r="G435" s="44">
        <v>1161</v>
      </c>
      <c r="H435" s="28">
        <v>1045.9459459459458</v>
      </c>
      <c r="I435" s="19" t="s">
        <v>654</v>
      </c>
      <c r="J435" s="19" t="s">
        <v>655</v>
      </c>
      <c r="K435" s="32" t="s">
        <v>834</v>
      </c>
      <c r="L435" s="22"/>
      <c r="M435" s="22"/>
      <c r="N435" s="22"/>
      <c r="O435" s="20" t="s">
        <v>15</v>
      </c>
      <c r="P435" s="25" t="s">
        <v>16</v>
      </c>
      <c r="Q435" s="16">
        <v>2958465</v>
      </c>
    </row>
    <row r="436" spans="1:17">
      <c r="A436" s="11">
        <f t="shared" si="6"/>
        <v>435</v>
      </c>
      <c r="B436" s="11">
        <v>8010071436</v>
      </c>
      <c r="C436" s="25" t="s">
        <v>877</v>
      </c>
      <c r="D436" s="27">
        <v>3900</v>
      </c>
      <c r="E436" s="11">
        <v>0.43</v>
      </c>
      <c r="F436" s="11" t="s">
        <v>11</v>
      </c>
      <c r="G436" s="44">
        <v>1677</v>
      </c>
      <c r="H436" s="28">
        <v>1510.8108108108106</v>
      </c>
      <c r="I436" s="19" t="s">
        <v>654</v>
      </c>
      <c r="J436" s="19" t="s">
        <v>655</v>
      </c>
      <c r="K436" s="32" t="s">
        <v>834</v>
      </c>
      <c r="L436" s="22"/>
      <c r="M436" s="22"/>
      <c r="N436" s="22"/>
      <c r="O436" s="20" t="s">
        <v>15</v>
      </c>
      <c r="P436" s="25" t="s">
        <v>16</v>
      </c>
      <c r="Q436" s="16">
        <v>2958465</v>
      </c>
    </row>
    <row r="437" spans="1:17">
      <c r="A437" s="11">
        <f t="shared" si="6"/>
        <v>436</v>
      </c>
      <c r="B437" s="11">
        <v>8010071437</v>
      </c>
      <c r="C437" s="25" t="s">
        <v>878</v>
      </c>
      <c r="D437" s="27">
        <v>7300</v>
      </c>
      <c r="E437" s="11">
        <v>0.43</v>
      </c>
      <c r="F437" s="11" t="s">
        <v>11</v>
      </c>
      <c r="G437" s="44">
        <v>3139</v>
      </c>
      <c r="H437" s="28">
        <v>2827.9279279279276</v>
      </c>
      <c r="I437" s="19" t="s">
        <v>654</v>
      </c>
      <c r="J437" s="19" t="s">
        <v>655</v>
      </c>
      <c r="K437" s="32" t="s">
        <v>834</v>
      </c>
      <c r="L437" s="22"/>
      <c r="M437" s="22"/>
      <c r="N437" s="22"/>
      <c r="O437" s="20" t="s">
        <v>15</v>
      </c>
      <c r="P437" s="25" t="s">
        <v>16</v>
      </c>
      <c r="Q437" s="16">
        <v>2958465</v>
      </c>
    </row>
    <row r="438" spans="1:17">
      <c r="A438" s="11">
        <f t="shared" si="6"/>
        <v>437</v>
      </c>
      <c r="B438" s="11">
        <v>8010071438</v>
      </c>
      <c r="C438" s="25" t="s">
        <v>879</v>
      </c>
      <c r="D438" s="27">
        <v>13700</v>
      </c>
      <c r="E438" s="11">
        <v>0.43</v>
      </c>
      <c r="F438" s="11" t="s">
        <v>11</v>
      </c>
      <c r="G438" s="44">
        <v>5891</v>
      </c>
      <c r="H438" s="28">
        <v>5307.2072072072069</v>
      </c>
      <c r="I438" s="19" t="s">
        <v>654</v>
      </c>
      <c r="J438" s="19" t="s">
        <v>655</v>
      </c>
      <c r="K438" s="32" t="s">
        <v>834</v>
      </c>
      <c r="L438" s="22"/>
      <c r="M438" s="22"/>
      <c r="N438" s="22"/>
      <c r="O438" s="20" t="s">
        <v>15</v>
      </c>
      <c r="P438" s="25" t="s">
        <v>16</v>
      </c>
      <c r="Q438" s="16">
        <v>2958465</v>
      </c>
    </row>
    <row r="439" spans="1:17">
      <c r="A439" s="11">
        <f t="shared" si="6"/>
        <v>438</v>
      </c>
      <c r="B439" s="11">
        <v>8010071439</v>
      </c>
      <c r="C439" s="25" t="s">
        <v>880</v>
      </c>
      <c r="D439" s="27">
        <v>31400</v>
      </c>
      <c r="E439" s="11">
        <v>0.43</v>
      </c>
      <c r="F439" s="11" t="s">
        <v>11</v>
      </c>
      <c r="G439" s="44">
        <v>13502</v>
      </c>
      <c r="H439" s="28">
        <v>12163.963963963963</v>
      </c>
      <c r="I439" s="19" t="s">
        <v>654</v>
      </c>
      <c r="J439" s="19" t="s">
        <v>655</v>
      </c>
      <c r="K439" s="32" t="s">
        <v>834</v>
      </c>
      <c r="L439" s="22"/>
      <c r="M439" s="22"/>
      <c r="N439" s="22"/>
      <c r="O439" s="20" t="s">
        <v>15</v>
      </c>
      <c r="P439" s="25" t="s">
        <v>16</v>
      </c>
      <c r="Q439" s="16">
        <v>2958465</v>
      </c>
    </row>
    <row r="440" spans="1:17">
      <c r="A440" s="11">
        <f t="shared" si="6"/>
        <v>439</v>
      </c>
      <c r="B440" s="11">
        <v>8010071440</v>
      </c>
      <c r="C440" s="25" t="s">
        <v>881</v>
      </c>
      <c r="D440" s="27">
        <v>35700</v>
      </c>
      <c r="E440" s="11">
        <v>0.43</v>
      </c>
      <c r="F440" s="11" t="s">
        <v>11</v>
      </c>
      <c r="G440" s="44">
        <v>15351</v>
      </c>
      <c r="H440" s="28">
        <v>13829.729729729728</v>
      </c>
      <c r="I440" s="19" t="s">
        <v>654</v>
      </c>
      <c r="J440" s="19" t="s">
        <v>655</v>
      </c>
      <c r="K440" s="32" t="s">
        <v>834</v>
      </c>
      <c r="L440" s="22"/>
      <c r="M440" s="22"/>
      <c r="N440" s="22"/>
      <c r="O440" s="20" t="s">
        <v>15</v>
      </c>
      <c r="P440" s="25" t="s">
        <v>16</v>
      </c>
      <c r="Q440" s="16">
        <v>2958465</v>
      </c>
    </row>
    <row r="441" spans="1:17">
      <c r="A441" s="11">
        <f t="shared" si="6"/>
        <v>440</v>
      </c>
      <c r="B441" s="11">
        <v>8010071441</v>
      </c>
      <c r="C441" s="25" t="s">
        <v>882</v>
      </c>
      <c r="D441" s="27">
        <v>67700</v>
      </c>
      <c r="E441" s="11">
        <v>0.43</v>
      </c>
      <c r="F441" s="11" t="s">
        <v>11</v>
      </c>
      <c r="G441" s="44">
        <v>29111</v>
      </c>
      <c r="H441" s="28">
        <v>26226.126126126124</v>
      </c>
      <c r="I441" s="19" t="s">
        <v>654</v>
      </c>
      <c r="J441" s="19" t="s">
        <v>655</v>
      </c>
      <c r="K441" s="32" t="s">
        <v>834</v>
      </c>
      <c r="L441" s="22"/>
      <c r="M441" s="22"/>
      <c r="N441" s="22"/>
      <c r="O441" s="20" t="s">
        <v>15</v>
      </c>
      <c r="P441" s="25" t="s">
        <v>16</v>
      </c>
      <c r="Q441" s="16">
        <v>2958465</v>
      </c>
    </row>
    <row r="442" spans="1:17">
      <c r="A442" s="11">
        <f t="shared" si="6"/>
        <v>441</v>
      </c>
      <c r="B442" s="11">
        <v>8010071442</v>
      </c>
      <c r="C442" s="25" t="s">
        <v>883</v>
      </c>
      <c r="D442" s="27">
        <v>151400</v>
      </c>
      <c r="E442" s="11">
        <v>0.43</v>
      </c>
      <c r="F442" s="11" t="s">
        <v>11</v>
      </c>
      <c r="G442" s="44">
        <v>65102</v>
      </c>
      <c r="H442" s="28">
        <v>58650.450450450444</v>
      </c>
      <c r="I442" s="19" t="s">
        <v>654</v>
      </c>
      <c r="J442" s="19" t="s">
        <v>655</v>
      </c>
      <c r="K442" s="32" t="s">
        <v>834</v>
      </c>
      <c r="L442" s="22"/>
      <c r="M442" s="22"/>
      <c r="N442" s="22"/>
      <c r="O442" s="20" t="s">
        <v>15</v>
      </c>
      <c r="P442" s="25" t="s">
        <v>16</v>
      </c>
      <c r="Q442" s="16">
        <v>2958465</v>
      </c>
    </row>
    <row r="443" spans="1:17">
      <c r="A443" s="11">
        <f t="shared" si="6"/>
        <v>442</v>
      </c>
      <c r="B443" s="11">
        <v>8010071443</v>
      </c>
      <c r="C443" s="25" t="s">
        <v>884</v>
      </c>
      <c r="D443" s="27">
        <v>184100</v>
      </c>
      <c r="E443" s="11">
        <v>0.43</v>
      </c>
      <c r="F443" s="11" t="s">
        <v>11</v>
      </c>
      <c r="G443" s="44">
        <v>79163</v>
      </c>
      <c r="H443" s="28">
        <v>71318.018018018018</v>
      </c>
      <c r="I443" s="19" t="s">
        <v>654</v>
      </c>
      <c r="J443" s="19" t="s">
        <v>655</v>
      </c>
      <c r="K443" s="32" t="s">
        <v>834</v>
      </c>
      <c r="L443" s="22"/>
      <c r="M443" s="22"/>
      <c r="N443" s="22"/>
      <c r="O443" s="20" t="s">
        <v>15</v>
      </c>
      <c r="P443" s="25" t="s">
        <v>16</v>
      </c>
      <c r="Q443" s="16">
        <v>2958465</v>
      </c>
    </row>
    <row r="444" spans="1:17">
      <c r="A444" s="11">
        <f t="shared" si="6"/>
        <v>443</v>
      </c>
      <c r="B444" s="11">
        <v>8010071444</v>
      </c>
      <c r="C444" s="25" t="s">
        <v>885</v>
      </c>
      <c r="D444" s="27">
        <v>676900</v>
      </c>
      <c r="E444" s="11">
        <v>0.43</v>
      </c>
      <c r="F444" s="11" t="s">
        <v>11</v>
      </c>
      <c r="G444" s="44">
        <v>291067</v>
      </c>
      <c r="H444" s="28">
        <v>262222.52252252249</v>
      </c>
      <c r="I444" s="19" t="s">
        <v>654</v>
      </c>
      <c r="J444" s="19" t="s">
        <v>655</v>
      </c>
      <c r="K444" s="32" t="s">
        <v>834</v>
      </c>
      <c r="L444" s="22"/>
      <c r="M444" s="22"/>
      <c r="N444" s="22"/>
      <c r="O444" s="20" t="s">
        <v>15</v>
      </c>
      <c r="P444" s="25" t="s">
        <v>16</v>
      </c>
      <c r="Q444" s="16">
        <v>2958465</v>
      </c>
    </row>
    <row r="445" spans="1:17">
      <c r="A445" s="11">
        <f t="shared" si="6"/>
        <v>444</v>
      </c>
      <c r="B445" s="11">
        <v>8010071445</v>
      </c>
      <c r="C445" s="25" t="s">
        <v>886</v>
      </c>
      <c r="D445" s="27">
        <v>2600</v>
      </c>
      <c r="E445" s="11">
        <v>0.43</v>
      </c>
      <c r="F445" s="11" t="s">
        <v>11</v>
      </c>
      <c r="G445" s="44">
        <v>1118</v>
      </c>
      <c r="H445" s="28">
        <v>1007.2072072072071</v>
      </c>
      <c r="I445" s="19" t="s">
        <v>654</v>
      </c>
      <c r="J445" s="19" t="s">
        <v>655</v>
      </c>
      <c r="K445" s="32" t="s">
        <v>834</v>
      </c>
      <c r="L445" s="22"/>
      <c r="M445" s="22"/>
      <c r="N445" s="22"/>
      <c r="O445" s="20" t="s">
        <v>15</v>
      </c>
      <c r="P445" s="25" t="s">
        <v>16</v>
      </c>
      <c r="Q445" s="16">
        <v>2958465</v>
      </c>
    </row>
    <row r="446" spans="1:17">
      <c r="A446" s="11">
        <f t="shared" si="6"/>
        <v>445</v>
      </c>
      <c r="B446" s="11">
        <v>8010071446</v>
      </c>
      <c r="C446" s="25" t="s">
        <v>887</v>
      </c>
      <c r="D446" s="27">
        <v>3800</v>
      </c>
      <c r="E446" s="11">
        <v>0.43</v>
      </c>
      <c r="F446" s="11" t="s">
        <v>11</v>
      </c>
      <c r="G446" s="44">
        <v>1634</v>
      </c>
      <c r="H446" s="28">
        <v>1472.0720720720719</v>
      </c>
      <c r="I446" s="19" t="s">
        <v>654</v>
      </c>
      <c r="J446" s="19" t="s">
        <v>655</v>
      </c>
      <c r="K446" s="32" t="s">
        <v>834</v>
      </c>
      <c r="L446" s="22"/>
      <c r="M446" s="22"/>
      <c r="N446" s="22"/>
      <c r="O446" s="20" t="s">
        <v>15</v>
      </c>
      <c r="P446" s="25" t="s">
        <v>16</v>
      </c>
      <c r="Q446" s="16">
        <v>2958465</v>
      </c>
    </row>
    <row r="447" spans="1:17">
      <c r="A447" s="11">
        <f t="shared" si="6"/>
        <v>446</v>
      </c>
      <c r="B447" s="11">
        <v>8010071447</v>
      </c>
      <c r="C447" s="25" t="s">
        <v>888</v>
      </c>
      <c r="D447" s="27">
        <v>4300</v>
      </c>
      <c r="E447" s="11">
        <v>0.43</v>
      </c>
      <c r="F447" s="11" t="s">
        <v>11</v>
      </c>
      <c r="G447" s="44">
        <v>1849</v>
      </c>
      <c r="H447" s="28">
        <v>1665.7657657657655</v>
      </c>
      <c r="I447" s="19" t="s">
        <v>654</v>
      </c>
      <c r="J447" s="19" t="s">
        <v>655</v>
      </c>
      <c r="K447" s="32" t="s">
        <v>834</v>
      </c>
      <c r="L447" s="22"/>
      <c r="M447" s="22"/>
      <c r="N447" s="22"/>
      <c r="O447" s="20" t="s">
        <v>15</v>
      </c>
      <c r="P447" s="25" t="s">
        <v>16</v>
      </c>
      <c r="Q447" s="16">
        <v>2958465</v>
      </c>
    </row>
    <row r="448" spans="1:17">
      <c r="A448" s="11">
        <f t="shared" si="6"/>
        <v>447</v>
      </c>
      <c r="B448" s="11">
        <v>8010071448</v>
      </c>
      <c r="C448" s="25" t="s">
        <v>889</v>
      </c>
      <c r="D448" s="27">
        <v>7400</v>
      </c>
      <c r="E448" s="11">
        <v>0.43</v>
      </c>
      <c r="F448" s="11" t="s">
        <v>11</v>
      </c>
      <c r="G448" s="44">
        <v>3182</v>
      </c>
      <c r="H448" s="28">
        <v>2866.6666666666665</v>
      </c>
      <c r="I448" s="19" t="s">
        <v>654</v>
      </c>
      <c r="J448" s="19" t="s">
        <v>655</v>
      </c>
      <c r="K448" s="32" t="s">
        <v>834</v>
      </c>
      <c r="L448" s="22"/>
      <c r="M448" s="22"/>
      <c r="N448" s="22"/>
      <c r="O448" s="20" t="s">
        <v>15</v>
      </c>
      <c r="P448" s="25" t="s">
        <v>16</v>
      </c>
      <c r="Q448" s="16">
        <v>2958465</v>
      </c>
    </row>
    <row r="449" spans="1:17">
      <c r="A449" s="11">
        <f t="shared" si="6"/>
        <v>448</v>
      </c>
      <c r="B449" s="11">
        <v>8010071449</v>
      </c>
      <c r="C449" s="25" t="s">
        <v>946</v>
      </c>
      <c r="D449" s="27">
        <v>7700</v>
      </c>
      <c r="E449" s="11">
        <v>0.43</v>
      </c>
      <c r="F449" s="11" t="s">
        <v>11</v>
      </c>
      <c r="G449" s="44">
        <v>3311</v>
      </c>
      <c r="H449" s="28">
        <v>2982.8828828828828</v>
      </c>
      <c r="I449" s="19" t="s">
        <v>654</v>
      </c>
      <c r="J449" s="19" t="s">
        <v>655</v>
      </c>
      <c r="K449" s="32" t="s">
        <v>834</v>
      </c>
      <c r="L449" s="22"/>
      <c r="M449" s="22"/>
      <c r="N449" s="22"/>
      <c r="O449" s="20" t="s">
        <v>15</v>
      </c>
      <c r="P449" s="25" t="s">
        <v>16</v>
      </c>
      <c r="Q449" s="16">
        <v>2958465</v>
      </c>
    </row>
    <row r="450" spans="1:17">
      <c r="A450" s="11">
        <f t="shared" si="6"/>
        <v>449</v>
      </c>
      <c r="B450" s="11">
        <v>8010071450</v>
      </c>
      <c r="C450" s="25" t="s">
        <v>990</v>
      </c>
      <c r="D450" s="27">
        <v>8600</v>
      </c>
      <c r="E450" s="11">
        <v>0.43</v>
      </c>
      <c r="F450" s="11" t="s">
        <v>11</v>
      </c>
      <c r="G450" s="44">
        <v>3698</v>
      </c>
      <c r="H450" s="28">
        <v>3331.5315315315311</v>
      </c>
      <c r="I450" s="19" t="s">
        <v>654</v>
      </c>
      <c r="J450" s="19" t="s">
        <v>655</v>
      </c>
      <c r="K450" s="32" t="s">
        <v>834</v>
      </c>
      <c r="L450" s="22"/>
      <c r="M450" s="22"/>
      <c r="N450" s="22"/>
      <c r="O450" s="20" t="s">
        <v>15</v>
      </c>
      <c r="P450" s="25" t="s">
        <v>16</v>
      </c>
      <c r="Q450" s="16">
        <v>2958465</v>
      </c>
    </row>
    <row r="451" spans="1:17">
      <c r="A451" s="11">
        <f t="shared" si="6"/>
        <v>450</v>
      </c>
      <c r="B451" s="11">
        <v>8010071451</v>
      </c>
      <c r="C451" s="25" t="s">
        <v>991</v>
      </c>
      <c r="D451" s="27">
        <v>11600</v>
      </c>
      <c r="E451" s="11">
        <v>0.43</v>
      </c>
      <c r="F451" s="11" t="s">
        <v>11</v>
      </c>
      <c r="G451" s="44">
        <v>4988</v>
      </c>
      <c r="H451" s="28">
        <v>4493.6936936936936</v>
      </c>
      <c r="I451" s="19" t="s">
        <v>654</v>
      </c>
      <c r="J451" s="19" t="s">
        <v>655</v>
      </c>
      <c r="K451" s="32" t="s">
        <v>834</v>
      </c>
      <c r="L451" s="22"/>
      <c r="M451" s="22"/>
      <c r="N451" s="22"/>
      <c r="O451" s="20" t="s">
        <v>15</v>
      </c>
      <c r="P451" s="25" t="s">
        <v>16</v>
      </c>
      <c r="Q451" s="16">
        <v>2958465</v>
      </c>
    </row>
    <row r="452" spans="1:17">
      <c r="A452" s="11">
        <f t="shared" si="6"/>
        <v>451</v>
      </c>
      <c r="B452" s="11">
        <v>8010071452</v>
      </c>
      <c r="C452" s="25" t="s">
        <v>992</v>
      </c>
      <c r="D452" s="27">
        <v>13100</v>
      </c>
      <c r="E452" s="11">
        <v>0.43</v>
      </c>
      <c r="F452" s="11" t="s">
        <v>11</v>
      </c>
      <c r="G452" s="44">
        <v>5633</v>
      </c>
      <c r="H452" s="28">
        <v>5074.7747747747744</v>
      </c>
      <c r="I452" s="19" t="s">
        <v>654</v>
      </c>
      <c r="J452" s="19" t="s">
        <v>655</v>
      </c>
      <c r="K452" s="32" t="s">
        <v>834</v>
      </c>
      <c r="L452" s="22"/>
      <c r="M452" s="22"/>
      <c r="N452" s="22"/>
      <c r="O452" s="20" t="s">
        <v>15</v>
      </c>
      <c r="P452" s="25" t="s">
        <v>16</v>
      </c>
      <c r="Q452" s="16">
        <v>2958465</v>
      </c>
    </row>
    <row r="453" spans="1:17">
      <c r="A453" s="11">
        <f t="shared" ref="A453:A516" si="7">ROW()-1</f>
        <v>452</v>
      </c>
      <c r="B453" s="11">
        <v>8010071453</v>
      </c>
      <c r="C453" s="25" t="s">
        <v>993</v>
      </c>
      <c r="D453" s="27">
        <v>14000</v>
      </c>
      <c r="E453" s="11">
        <v>0.43</v>
      </c>
      <c r="F453" s="11" t="s">
        <v>11</v>
      </c>
      <c r="G453" s="44">
        <v>6020</v>
      </c>
      <c r="H453" s="28">
        <v>5423.4234234234227</v>
      </c>
      <c r="I453" s="19" t="s">
        <v>654</v>
      </c>
      <c r="J453" s="19" t="s">
        <v>655</v>
      </c>
      <c r="K453" s="32" t="s">
        <v>834</v>
      </c>
      <c r="L453" s="22"/>
      <c r="M453" s="22"/>
      <c r="N453" s="22"/>
      <c r="O453" s="20" t="s">
        <v>15</v>
      </c>
      <c r="P453" s="25" t="s">
        <v>16</v>
      </c>
      <c r="Q453" s="16">
        <v>2958465</v>
      </c>
    </row>
    <row r="454" spans="1:17">
      <c r="A454" s="11">
        <f t="shared" si="7"/>
        <v>453</v>
      </c>
      <c r="B454" s="11">
        <v>8010071454</v>
      </c>
      <c r="C454" s="25" t="s">
        <v>994</v>
      </c>
      <c r="D454" s="27">
        <v>16900</v>
      </c>
      <c r="E454" s="11">
        <v>0.43</v>
      </c>
      <c r="F454" s="11" t="s">
        <v>11</v>
      </c>
      <c r="G454" s="44">
        <v>7267</v>
      </c>
      <c r="H454" s="28">
        <v>6546.8468468468463</v>
      </c>
      <c r="I454" s="19" t="s">
        <v>654</v>
      </c>
      <c r="J454" s="19" t="s">
        <v>655</v>
      </c>
      <c r="K454" s="32" t="s">
        <v>834</v>
      </c>
      <c r="L454" s="22"/>
      <c r="M454" s="22"/>
      <c r="N454" s="22"/>
      <c r="O454" s="20" t="s">
        <v>15</v>
      </c>
      <c r="P454" s="25" t="s">
        <v>16</v>
      </c>
      <c r="Q454" s="16">
        <v>2958465</v>
      </c>
    </row>
    <row r="455" spans="1:17">
      <c r="A455" s="11">
        <f t="shared" si="7"/>
        <v>454</v>
      </c>
      <c r="B455" s="11">
        <v>8010071455</v>
      </c>
      <c r="C455" s="25" t="s">
        <v>995</v>
      </c>
      <c r="D455" s="27">
        <v>21400</v>
      </c>
      <c r="E455" s="11">
        <v>0.43</v>
      </c>
      <c r="F455" s="11" t="s">
        <v>11</v>
      </c>
      <c r="G455" s="44">
        <v>9202</v>
      </c>
      <c r="H455" s="28">
        <v>8290.0900900900888</v>
      </c>
      <c r="I455" s="19" t="s">
        <v>654</v>
      </c>
      <c r="J455" s="19" t="s">
        <v>655</v>
      </c>
      <c r="K455" s="32" t="s">
        <v>834</v>
      </c>
      <c r="L455" s="22"/>
      <c r="M455" s="22"/>
      <c r="N455" s="22"/>
      <c r="O455" s="20" t="s">
        <v>15</v>
      </c>
      <c r="P455" s="25" t="s">
        <v>16</v>
      </c>
      <c r="Q455" s="16">
        <v>2958465</v>
      </c>
    </row>
    <row r="456" spans="1:17">
      <c r="A456" s="11">
        <f t="shared" si="7"/>
        <v>455</v>
      </c>
      <c r="B456" s="11">
        <v>8010071456</v>
      </c>
      <c r="C456" s="25" t="s">
        <v>996</v>
      </c>
      <c r="D456" s="27">
        <v>22000</v>
      </c>
      <c r="E456" s="11">
        <v>0.43</v>
      </c>
      <c r="F456" s="11" t="s">
        <v>11</v>
      </c>
      <c r="G456" s="44">
        <v>9460</v>
      </c>
      <c r="H456" s="28">
        <v>8522.5225225225222</v>
      </c>
      <c r="I456" s="19" t="s">
        <v>654</v>
      </c>
      <c r="J456" s="19" t="s">
        <v>655</v>
      </c>
      <c r="K456" s="32" t="s">
        <v>834</v>
      </c>
      <c r="L456" s="22"/>
      <c r="M456" s="22"/>
      <c r="N456" s="22"/>
      <c r="O456" s="20" t="s">
        <v>15</v>
      </c>
      <c r="P456" s="25" t="s">
        <v>16</v>
      </c>
      <c r="Q456" s="16">
        <v>2958465</v>
      </c>
    </row>
    <row r="457" spans="1:17">
      <c r="A457" s="11">
        <f t="shared" si="7"/>
        <v>456</v>
      </c>
      <c r="B457" s="11">
        <v>8010071457</v>
      </c>
      <c r="C457" s="25" t="s">
        <v>997</v>
      </c>
      <c r="D457" s="27">
        <v>22600</v>
      </c>
      <c r="E457" s="11">
        <v>0.43</v>
      </c>
      <c r="F457" s="11" t="s">
        <v>11</v>
      </c>
      <c r="G457" s="44">
        <v>9718</v>
      </c>
      <c r="H457" s="28">
        <v>8754.9549549549538</v>
      </c>
      <c r="I457" s="19" t="s">
        <v>654</v>
      </c>
      <c r="J457" s="19" t="s">
        <v>655</v>
      </c>
      <c r="K457" s="32" t="s">
        <v>834</v>
      </c>
      <c r="L457" s="22"/>
      <c r="M457" s="22"/>
      <c r="N457" s="22"/>
      <c r="O457" s="20" t="s">
        <v>15</v>
      </c>
      <c r="P457" s="25" t="s">
        <v>16</v>
      </c>
      <c r="Q457" s="16">
        <v>2958465</v>
      </c>
    </row>
    <row r="458" spans="1:17">
      <c r="A458" s="11">
        <f t="shared" si="7"/>
        <v>457</v>
      </c>
      <c r="B458" s="11">
        <v>8010071458</v>
      </c>
      <c r="C458" s="25" t="s">
        <v>998</v>
      </c>
      <c r="D458" s="27">
        <v>23200</v>
      </c>
      <c r="E458" s="11">
        <v>0.43</v>
      </c>
      <c r="F458" s="11" t="s">
        <v>11</v>
      </c>
      <c r="G458" s="44">
        <v>9976</v>
      </c>
      <c r="H458" s="28">
        <v>8987.3873873873872</v>
      </c>
      <c r="I458" s="19" t="s">
        <v>654</v>
      </c>
      <c r="J458" s="19" t="s">
        <v>655</v>
      </c>
      <c r="K458" s="32" t="s">
        <v>834</v>
      </c>
      <c r="L458" s="22"/>
      <c r="M458" s="22"/>
      <c r="N458" s="22"/>
      <c r="O458" s="20" t="s">
        <v>15</v>
      </c>
      <c r="P458" s="25" t="s">
        <v>16</v>
      </c>
      <c r="Q458" s="16">
        <v>2958465</v>
      </c>
    </row>
    <row r="459" spans="1:17">
      <c r="A459" s="11">
        <f t="shared" si="7"/>
        <v>458</v>
      </c>
      <c r="B459" s="11">
        <v>8010071459</v>
      </c>
      <c r="C459" s="25" t="s">
        <v>999</v>
      </c>
      <c r="D459" s="27">
        <v>34400</v>
      </c>
      <c r="E459" s="11">
        <v>0.43</v>
      </c>
      <c r="F459" s="11" t="s">
        <v>11</v>
      </c>
      <c r="G459" s="44">
        <v>14792</v>
      </c>
      <c r="H459" s="28">
        <v>13326.126126126124</v>
      </c>
      <c r="I459" s="19" t="s">
        <v>654</v>
      </c>
      <c r="J459" s="19" t="s">
        <v>655</v>
      </c>
      <c r="K459" s="32" t="s">
        <v>834</v>
      </c>
      <c r="L459" s="22"/>
      <c r="M459" s="22"/>
      <c r="N459" s="22"/>
      <c r="O459" s="20" t="s">
        <v>15</v>
      </c>
      <c r="P459" s="25" t="s">
        <v>16</v>
      </c>
      <c r="Q459" s="16">
        <v>2958465</v>
      </c>
    </row>
    <row r="460" spans="1:17">
      <c r="A460" s="11">
        <f t="shared" si="7"/>
        <v>459</v>
      </c>
      <c r="B460" s="11">
        <v>8010071460</v>
      </c>
      <c r="C460" s="25" t="s">
        <v>1000</v>
      </c>
      <c r="D460" s="27">
        <v>35600</v>
      </c>
      <c r="E460" s="11">
        <v>0.43</v>
      </c>
      <c r="F460" s="11" t="s">
        <v>11</v>
      </c>
      <c r="G460" s="44">
        <v>15308</v>
      </c>
      <c r="H460" s="28">
        <v>13790.990990990989</v>
      </c>
      <c r="I460" s="19" t="s">
        <v>654</v>
      </c>
      <c r="J460" s="19" t="s">
        <v>655</v>
      </c>
      <c r="K460" s="32" t="s">
        <v>834</v>
      </c>
      <c r="L460" s="22"/>
      <c r="M460" s="22"/>
      <c r="N460" s="22"/>
      <c r="O460" s="20" t="s">
        <v>15</v>
      </c>
      <c r="P460" s="25" t="s">
        <v>16</v>
      </c>
      <c r="Q460" s="16">
        <v>2958465</v>
      </c>
    </row>
    <row r="461" spans="1:17">
      <c r="A461" s="11">
        <f t="shared" si="7"/>
        <v>460</v>
      </c>
      <c r="B461" s="11">
        <v>8010071461</v>
      </c>
      <c r="C461" s="25" t="s">
        <v>1001</v>
      </c>
      <c r="D461" s="27">
        <v>36200</v>
      </c>
      <c r="E461" s="11">
        <v>0.43</v>
      </c>
      <c r="F461" s="11" t="s">
        <v>11</v>
      </c>
      <c r="G461" s="44">
        <v>15566</v>
      </c>
      <c r="H461" s="28">
        <v>14023.423423423423</v>
      </c>
      <c r="I461" s="19" t="s">
        <v>654</v>
      </c>
      <c r="J461" s="19" t="s">
        <v>655</v>
      </c>
      <c r="K461" s="32" t="s">
        <v>834</v>
      </c>
      <c r="L461" s="22"/>
      <c r="M461" s="22"/>
      <c r="N461" s="22"/>
      <c r="O461" s="20" t="s">
        <v>15</v>
      </c>
      <c r="P461" s="25" t="s">
        <v>16</v>
      </c>
      <c r="Q461" s="16">
        <v>2958465</v>
      </c>
    </row>
    <row r="462" spans="1:17">
      <c r="A462" s="11">
        <f t="shared" si="7"/>
        <v>461</v>
      </c>
      <c r="B462" s="11">
        <v>8010071462</v>
      </c>
      <c r="C462" s="25" t="s">
        <v>1002</v>
      </c>
      <c r="D462" s="27">
        <v>58200</v>
      </c>
      <c r="E462" s="11">
        <v>0.43</v>
      </c>
      <c r="F462" s="11" t="s">
        <v>11</v>
      </c>
      <c r="G462" s="44">
        <v>25026</v>
      </c>
      <c r="H462" s="28">
        <v>22545.945945945943</v>
      </c>
      <c r="I462" s="19" t="s">
        <v>654</v>
      </c>
      <c r="J462" s="19" t="s">
        <v>655</v>
      </c>
      <c r="K462" s="32" t="s">
        <v>834</v>
      </c>
      <c r="L462" s="22"/>
      <c r="M462" s="22"/>
      <c r="N462" s="22"/>
      <c r="O462" s="20" t="s">
        <v>15</v>
      </c>
      <c r="P462" s="25" t="s">
        <v>16</v>
      </c>
      <c r="Q462" s="16">
        <v>2958465</v>
      </c>
    </row>
    <row r="463" spans="1:17">
      <c r="A463" s="11">
        <f t="shared" si="7"/>
        <v>462</v>
      </c>
      <c r="B463" s="11">
        <v>8010071463</v>
      </c>
      <c r="C463" s="25" t="s">
        <v>1003</v>
      </c>
      <c r="D463" s="27">
        <v>58800</v>
      </c>
      <c r="E463" s="11">
        <v>0.43</v>
      </c>
      <c r="F463" s="11" t="s">
        <v>11</v>
      </c>
      <c r="G463" s="44">
        <v>25284</v>
      </c>
      <c r="H463" s="28">
        <v>22778.378378378377</v>
      </c>
      <c r="I463" s="19" t="s">
        <v>654</v>
      </c>
      <c r="J463" s="19" t="s">
        <v>655</v>
      </c>
      <c r="K463" s="32" t="s">
        <v>834</v>
      </c>
      <c r="L463" s="22"/>
      <c r="M463" s="22"/>
      <c r="N463" s="22"/>
      <c r="O463" s="20" t="s">
        <v>15</v>
      </c>
      <c r="P463" s="25" t="s">
        <v>16</v>
      </c>
      <c r="Q463" s="16">
        <v>2958465</v>
      </c>
    </row>
    <row r="464" spans="1:17">
      <c r="A464" s="11">
        <f t="shared" si="7"/>
        <v>463</v>
      </c>
      <c r="B464" s="11">
        <v>8010071464</v>
      </c>
      <c r="C464" s="25" t="s">
        <v>989</v>
      </c>
      <c r="D464" s="27">
        <v>61200</v>
      </c>
      <c r="E464" s="11">
        <v>0.43</v>
      </c>
      <c r="F464" s="11" t="s">
        <v>11</v>
      </c>
      <c r="G464" s="44">
        <v>26316</v>
      </c>
      <c r="H464" s="28">
        <v>23708.108108108107</v>
      </c>
      <c r="I464" s="19" t="s">
        <v>654</v>
      </c>
      <c r="J464" s="19" t="s">
        <v>655</v>
      </c>
      <c r="K464" s="32" t="s">
        <v>834</v>
      </c>
      <c r="L464" s="22"/>
      <c r="M464" s="22"/>
      <c r="N464" s="22"/>
      <c r="O464" s="20" t="s">
        <v>15</v>
      </c>
      <c r="P464" s="25" t="s">
        <v>16</v>
      </c>
      <c r="Q464" s="16">
        <v>2958465</v>
      </c>
    </row>
    <row r="465" spans="1:17">
      <c r="A465" s="11">
        <f t="shared" si="7"/>
        <v>464</v>
      </c>
      <c r="B465" s="11">
        <v>8010071465</v>
      </c>
      <c r="C465" s="25" t="s">
        <v>1004</v>
      </c>
      <c r="D465" s="27">
        <v>65600</v>
      </c>
      <c r="E465" s="11">
        <v>0.43</v>
      </c>
      <c r="F465" s="11" t="s">
        <v>11</v>
      </c>
      <c r="G465" s="44">
        <v>28208</v>
      </c>
      <c r="H465" s="28">
        <v>25412.612612612611</v>
      </c>
      <c r="I465" s="19" t="s">
        <v>654</v>
      </c>
      <c r="J465" s="19" t="s">
        <v>655</v>
      </c>
      <c r="K465" s="32" t="s">
        <v>834</v>
      </c>
      <c r="L465" s="22"/>
      <c r="M465" s="22"/>
      <c r="N465" s="22"/>
      <c r="O465" s="20" t="s">
        <v>15</v>
      </c>
      <c r="P465" s="25" t="s">
        <v>16</v>
      </c>
      <c r="Q465" s="16">
        <v>2958465</v>
      </c>
    </row>
    <row r="466" spans="1:17">
      <c r="A466" s="11">
        <f t="shared" si="7"/>
        <v>465</v>
      </c>
      <c r="B466" s="11">
        <v>8010071466</v>
      </c>
      <c r="C466" s="25" t="s">
        <v>1005</v>
      </c>
      <c r="D466" s="27">
        <v>98600</v>
      </c>
      <c r="E466" s="11">
        <v>0.43</v>
      </c>
      <c r="F466" s="11" t="s">
        <v>11</v>
      </c>
      <c r="G466" s="44">
        <v>42398</v>
      </c>
      <c r="H466" s="28">
        <v>38196.396396396391</v>
      </c>
      <c r="I466" s="19" t="s">
        <v>654</v>
      </c>
      <c r="J466" s="19" t="s">
        <v>655</v>
      </c>
      <c r="K466" s="32" t="s">
        <v>834</v>
      </c>
      <c r="L466" s="22"/>
      <c r="M466" s="22"/>
      <c r="N466" s="22"/>
      <c r="O466" s="20" t="s">
        <v>15</v>
      </c>
      <c r="P466" s="25" t="s">
        <v>16</v>
      </c>
      <c r="Q466" s="16">
        <v>2958465</v>
      </c>
    </row>
    <row r="467" spans="1:17">
      <c r="A467" s="11">
        <f t="shared" si="7"/>
        <v>466</v>
      </c>
      <c r="B467" s="11">
        <v>8010071467</v>
      </c>
      <c r="C467" s="25" t="s">
        <v>1006</v>
      </c>
      <c r="D467" s="27">
        <v>95000</v>
      </c>
      <c r="E467" s="11">
        <v>0.43</v>
      </c>
      <c r="F467" s="11" t="s">
        <v>11</v>
      </c>
      <c r="G467" s="44">
        <v>40850</v>
      </c>
      <c r="H467" s="28">
        <v>36801.801801801797</v>
      </c>
      <c r="I467" s="19" t="s">
        <v>654</v>
      </c>
      <c r="J467" s="19" t="s">
        <v>655</v>
      </c>
      <c r="K467" s="32" t="s">
        <v>834</v>
      </c>
      <c r="L467" s="22"/>
      <c r="M467" s="22"/>
      <c r="N467" s="22"/>
      <c r="O467" s="20" t="s">
        <v>15</v>
      </c>
      <c r="P467" s="25" t="s">
        <v>16</v>
      </c>
      <c r="Q467" s="16">
        <v>2958465</v>
      </c>
    </row>
    <row r="468" spans="1:17">
      <c r="A468" s="11">
        <f t="shared" si="7"/>
        <v>467</v>
      </c>
      <c r="B468" s="11">
        <v>8010071468</v>
      </c>
      <c r="C468" s="25" t="s">
        <v>1007</v>
      </c>
      <c r="D468" s="27">
        <v>141000</v>
      </c>
      <c r="E468" s="11">
        <v>0.43</v>
      </c>
      <c r="F468" s="11" t="s">
        <v>11</v>
      </c>
      <c r="G468" s="44">
        <v>60630</v>
      </c>
      <c r="H468" s="28">
        <v>54621.62162162162</v>
      </c>
      <c r="I468" s="19" t="s">
        <v>654</v>
      </c>
      <c r="J468" s="19" t="s">
        <v>655</v>
      </c>
      <c r="K468" s="32" t="s">
        <v>834</v>
      </c>
      <c r="L468" s="22"/>
      <c r="M468" s="22"/>
      <c r="N468" s="22"/>
      <c r="O468" s="20" t="s">
        <v>15</v>
      </c>
      <c r="P468" s="25" t="s">
        <v>16</v>
      </c>
      <c r="Q468" s="16">
        <v>2958465</v>
      </c>
    </row>
    <row r="469" spans="1:17">
      <c r="A469" s="11">
        <f t="shared" si="7"/>
        <v>468</v>
      </c>
      <c r="B469" s="11">
        <v>8010071469</v>
      </c>
      <c r="C469" s="25" t="s">
        <v>1008</v>
      </c>
      <c r="D469" s="27">
        <v>106900</v>
      </c>
      <c r="E469" s="11">
        <v>0.43</v>
      </c>
      <c r="F469" s="11" t="s">
        <v>11</v>
      </c>
      <c r="G469" s="44">
        <v>45967</v>
      </c>
      <c r="H469" s="28">
        <v>41411.711711711709</v>
      </c>
      <c r="I469" s="19" t="s">
        <v>654</v>
      </c>
      <c r="J469" s="19" t="s">
        <v>655</v>
      </c>
      <c r="K469" s="32" t="s">
        <v>834</v>
      </c>
      <c r="L469" s="22"/>
      <c r="M469" s="22"/>
      <c r="N469" s="22"/>
      <c r="O469" s="20" t="s">
        <v>15</v>
      </c>
      <c r="P469" s="25" t="s">
        <v>16</v>
      </c>
      <c r="Q469" s="16">
        <v>2958465</v>
      </c>
    </row>
    <row r="470" spans="1:17">
      <c r="A470" s="11">
        <f t="shared" si="7"/>
        <v>469</v>
      </c>
      <c r="B470" s="11">
        <v>8010071470</v>
      </c>
      <c r="C470" s="25" t="s">
        <v>1009</v>
      </c>
      <c r="D470" s="27">
        <v>332500</v>
      </c>
      <c r="E470" s="11">
        <v>0.43</v>
      </c>
      <c r="F470" s="11" t="s">
        <v>11</v>
      </c>
      <c r="G470" s="44">
        <v>142975</v>
      </c>
      <c r="H470" s="28">
        <v>128806.3063063063</v>
      </c>
      <c r="I470" s="19" t="s">
        <v>654</v>
      </c>
      <c r="J470" s="19" t="s">
        <v>655</v>
      </c>
      <c r="K470" s="32" t="s">
        <v>834</v>
      </c>
      <c r="L470" s="22"/>
      <c r="M470" s="22"/>
      <c r="N470" s="22"/>
      <c r="O470" s="20" t="s">
        <v>15</v>
      </c>
      <c r="P470" s="25" t="s">
        <v>16</v>
      </c>
      <c r="Q470" s="16">
        <v>2958465</v>
      </c>
    </row>
    <row r="471" spans="1:17">
      <c r="A471" s="11">
        <f t="shared" si="7"/>
        <v>470</v>
      </c>
      <c r="B471" s="11">
        <v>8010071471</v>
      </c>
      <c r="C471" s="25" t="s">
        <v>759</v>
      </c>
      <c r="D471" s="27">
        <v>16600</v>
      </c>
      <c r="E471" s="11">
        <v>0.51</v>
      </c>
      <c r="F471" s="11" t="s">
        <v>11</v>
      </c>
      <c r="G471" s="44">
        <v>8466</v>
      </c>
      <c r="H471" s="28">
        <v>7627.0270270270266</v>
      </c>
      <c r="I471" s="19" t="s">
        <v>654</v>
      </c>
      <c r="J471" s="19" t="s">
        <v>655</v>
      </c>
      <c r="K471" s="32" t="s">
        <v>656</v>
      </c>
      <c r="L471" s="22"/>
      <c r="M471" s="22"/>
      <c r="N471" s="22"/>
      <c r="O471" s="20" t="s">
        <v>15</v>
      </c>
      <c r="P471" s="25" t="s">
        <v>16</v>
      </c>
      <c r="Q471" s="16">
        <v>2958465</v>
      </c>
    </row>
    <row r="472" spans="1:17">
      <c r="A472" s="11">
        <f t="shared" si="7"/>
        <v>471</v>
      </c>
      <c r="B472" s="11">
        <v>8010071472</v>
      </c>
      <c r="C472" s="25" t="s">
        <v>760</v>
      </c>
      <c r="D472" s="27">
        <v>18500</v>
      </c>
      <c r="E472" s="11">
        <v>0.51</v>
      </c>
      <c r="F472" s="11" t="s">
        <v>11</v>
      </c>
      <c r="G472" s="44">
        <v>9435</v>
      </c>
      <c r="H472" s="28">
        <v>8500</v>
      </c>
      <c r="I472" s="19" t="s">
        <v>654</v>
      </c>
      <c r="J472" s="19" t="s">
        <v>655</v>
      </c>
      <c r="K472" s="32" t="s">
        <v>656</v>
      </c>
      <c r="L472" s="22"/>
      <c r="M472" s="22"/>
      <c r="N472" s="22"/>
      <c r="O472" s="20" t="s">
        <v>15</v>
      </c>
      <c r="P472" s="25" t="s">
        <v>16</v>
      </c>
      <c r="Q472" s="16">
        <v>2958465</v>
      </c>
    </row>
    <row r="473" spans="1:17">
      <c r="A473" s="11">
        <f t="shared" si="7"/>
        <v>472</v>
      </c>
      <c r="B473" s="11">
        <v>8010071473</v>
      </c>
      <c r="C473" s="25" t="s">
        <v>758</v>
      </c>
      <c r="D473" s="27">
        <v>22600</v>
      </c>
      <c r="E473" s="11">
        <v>0.51</v>
      </c>
      <c r="F473" s="11" t="s">
        <v>11</v>
      </c>
      <c r="G473" s="44">
        <v>11526</v>
      </c>
      <c r="H473" s="28">
        <v>10383.783783783783</v>
      </c>
      <c r="I473" s="19" t="s">
        <v>654</v>
      </c>
      <c r="J473" s="19" t="s">
        <v>655</v>
      </c>
      <c r="K473" s="32" t="s">
        <v>656</v>
      </c>
      <c r="L473" s="22"/>
      <c r="M473" s="22"/>
      <c r="N473" s="22"/>
      <c r="O473" s="20" t="s">
        <v>15</v>
      </c>
      <c r="P473" s="25" t="s">
        <v>16</v>
      </c>
      <c r="Q473" s="16">
        <v>2958465</v>
      </c>
    </row>
    <row r="474" spans="1:17">
      <c r="A474" s="11">
        <f t="shared" si="7"/>
        <v>473</v>
      </c>
      <c r="B474" s="11">
        <v>8010071474</v>
      </c>
      <c r="C474" s="25" t="s">
        <v>737</v>
      </c>
      <c r="D474" s="27">
        <v>20100</v>
      </c>
      <c r="E474" s="11">
        <v>0.51</v>
      </c>
      <c r="F474" s="11" t="s">
        <v>11</v>
      </c>
      <c r="G474" s="44">
        <v>10251</v>
      </c>
      <c r="H474" s="28">
        <v>9235.135135135135</v>
      </c>
      <c r="I474" s="19" t="s">
        <v>654</v>
      </c>
      <c r="J474" s="19" t="s">
        <v>655</v>
      </c>
      <c r="K474" s="32" t="s">
        <v>656</v>
      </c>
      <c r="L474" s="22"/>
      <c r="M474" s="22"/>
      <c r="N474" s="22"/>
      <c r="O474" s="20" t="s">
        <v>15</v>
      </c>
      <c r="P474" s="25" t="s">
        <v>16</v>
      </c>
      <c r="Q474" s="16">
        <v>2958465</v>
      </c>
    </row>
    <row r="475" spans="1:17">
      <c r="A475" s="11">
        <f t="shared" si="7"/>
        <v>474</v>
      </c>
      <c r="B475" s="11">
        <v>8010071475</v>
      </c>
      <c r="C475" s="25" t="s">
        <v>738</v>
      </c>
      <c r="D475" s="27">
        <v>25400</v>
      </c>
      <c r="E475" s="11">
        <v>0.51</v>
      </c>
      <c r="F475" s="11" t="s">
        <v>11</v>
      </c>
      <c r="G475" s="44">
        <v>12954</v>
      </c>
      <c r="H475" s="28">
        <v>11670.27027027027</v>
      </c>
      <c r="I475" s="19" t="s">
        <v>654</v>
      </c>
      <c r="J475" s="19" t="s">
        <v>655</v>
      </c>
      <c r="K475" s="32" t="s">
        <v>656</v>
      </c>
      <c r="L475" s="22"/>
      <c r="M475" s="22"/>
      <c r="N475" s="22"/>
      <c r="O475" s="20" t="s">
        <v>15</v>
      </c>
      <c r="P475" s="25" t="s">
        <v>16</v>
      </c>
      <c r="Q475" s="16">
        <v>2958465</v>
      </c>
    </row>
    <row r="476" spans="1:17">
      <c r="A476" s="11">
        <f t="shared" si="7"/>
        <v>475</v>
      </c>
      <c r="B476" s="11">
        <v>8010071476</v>
      </c>
      <c r="C476" s="25" t="s">
        <v>739</v>
      </c>
      <c r="D476" s="27">
        <v>81300</v>
      </c>
      <c r="E476" s="11">
        <v>0.51</v>
      </c>
      <c r="F476" s="11" t="s">
        <v>11</v>
      </c>
      <c r="G476" s="44">
        <v>41463</v>
      </c>
      <c r="H476" s="28">
        <v>37354.054054054053</v>
      </c>
      <c r="I476" s="19" t="s">
        <v>654</v>
      </c>
      <c r="J476" s="19" t="s">
        <v>655</v>
      </c>
      <c r="K476" s="32" t="s">
        <v>656</v>
      </c>
      <c r="L476" s="22"/>
      <c r="M476" s="22"/>
      <c r="N476" s="22"/>
      <c r="O476" s="20" t="s">
        <v>15</v>
      </c>
      <c r="P476" s="25" t="s">
        <v>16</v>
      </c>
      <c r="Q476" s="16">
        <v>2958465</v>
      </c>
    </row>
    <row r="477" spans="1:17">
      <c r="A477" s="11">
        <f t="shared" si="7"/>
        <v>476</v>
      </c>
      <c r="B477" s="11">
        <v>8010071477</v>
      </c>
      <c r="C477" s="25" t="s">
        <v>740</v>
      </c>
      <c r="D477" s="27">
        <v>25400</v>
      </c>
      <c r="E477" s="11">
        <v>0.51</v>
      </c>
      <c r="F477" s="11" t="s">
        <v>11</v>
      </c>
      <c r="G477" s="44">
        <v>12954</v>
      </c>
      <c r="H477" s="28">
        <v>11670.27027027027</v>
      </c>
      <c r="I477" s="19" t="s">
        <v>654</v>
      </c>
      <c r="J477" s="19" t="s">
        <v>655</v>
      </c>
      <c r="K477" s="32" t="s">
        <v>656</v>
      </c>
      <c r="L477" s="22"/>
      <c r="M477" s="22"/>
      <c r="N477" s="22"/>
      <c r="O477" s="20" t="s">
        <v>15</v>
      </c>
      <c r="P477" s="25" t="s">
        <v>16</v>
      </c>
      <c r="Q477" s="16">
        <v>2958465</v>
      </c>
    </row>
    <row r="478" spans="1:17">
      <c r="A478" s="11">
        <f t="shared" si="7"/>
        <v>477</v>
      </c>
      <c r="B478" s="11">
        <v>8010071478</v>
      </c>
      <c r="C478" s="25" t="s">
        <v>743</v>
      </c>
      <c r="D478" s="27">
        <v>35700</v>
      </c>
      <c r="E478" s="11">
        <v>0.51</v>
      </c>
      <c r="F478" s="11" t="s">
        <v>11</v>
      </c>
      <c r="G478" s="44">
        <v>18207</v>
      </c>
      <c r="H478" s="28">
        <v>16402.7027027027</v>
      </c>
      <c r="I478" s="19" t="s">
        <v>654</v>
      </c>
      <c r="J478" s="19" t="s">
        <v>655</v>
      </c>
      <c r="K478" s="32" t="s">
        <v>656</v>
      </c>
      <c r="L478" s="22"/>
      <c r="M478" s="22"/>
      <c r="N478" s="22"/>
      <c r="O478" s="20" t="s">
        <v>15</v>
      </c>
      <c r="P478" s="25" t="s">
        <v>16</v>
      </c>
      <c r="Q478" s="16">
        <v>2958465</v>
      </c>
    </row>
    <row r="479" spans="1:17">
      <c r="A479" s="11">
        <f t="shared" si="7"/>
        <v>478</v>
      </c>
      <c r="B479" s="11">
        <v>8010071479</v>
      </c>
      <c r="C479" s="25" t="s">
        <v>744</v>
      </c>
      <c r="D479" s="27">
        <v>31100</v>
      </c>
      <c r="E479" s="11">
        <v>0.51</v>
      </c>
      <c r="F479" s="11" t="s">
        <v>11</v>
      </c>
      <c r="G479" s="44">
        <v>15861</v>
      </c>
      <c r="H479" s="28">
        <v>14289.189189189188</v>
      </c>
      <c r="I479" s="19" t="s">
        <v>654</v>
      </c>
      <c r="J479" s="19" t="s">
        <v>655</v>
      </c>
      <c r="K479" s="32" t="s">
        <v>656</v>
      </c>
      <c r="L479" s="22"/>
      <c r="M479" s="22"/>
      <c r="N479" s="22"/>
      <c r="O479" s="20" t="s">
        <v>15</v>
      </c>
      <c r="P479" s="25" t="s">
        <v>16</v>
      </c>
      <c r="Q479" s="16">
        <v>2958465</v>
      </c>
    </row>
    <row r="480" spans="1:17">
      <c r="A480" s="11">
        <f t="shared" si="7"/>
        <v>479</v>
      </c>
      <c r="B480" s="11">
        <v>8010071480</v>
      </c>
      <c r="C480" s="25" t="s">
        <v>745</v>
      </c>
      <c r="D480" s="27">
        <v>37600</v>
      </c>
      <c r="E480" s="11">
        <v>0.51</v>
      </c>
      <c r="F480" s="11" t="s">
        <v>11</v>
      </c>
      <c r="G480" s="44">
        <v>19176</v>
      </c>
      <c r="H480" s="28">
        <v>17275.675675675673</v>
      </c>
      <c r="I480" s="19" t="s">
        <v>654</v>
      </c>
      <c r="J480" s="19" t="s">
        <v>655</v>
      </c>
      <c r="K480" s="32" t="s">
        <v>656</v>
      </c>
      <c r="L480" s="22"/>
      <c r="M480" s="22"/>
      <c r="N480" s="22"/>
      <c r="O480" s="20" t="s">
        <v>15</v>
      </c>
      <c r="P480" s="25" t="s">
        <v>16</v>
      </c>
      <c r="Q480" s="16">
        <v>2958465</v>
      </c>
    </row>
    <row r="481" spans="1:17">
      <c r="A481" s="11">
        <f t="shared" si="7"/>
        <v>480</v>
      </c>
      <c r="B481" s="11">
        <v>8010071481</v>
      </c>
      <c r="C481" s="25" t="s">
        <v>746</v>
      </c>
      <c r="D481" s="27">
        <v>30700</v>
      </c>
      <c r="E481" s="11">
        <v>0.51</v>
      </c>
      <c r="F481" s="11" t="s">
        <v>11</v>
      </c>
      <c r="G481" s="44">
        <v>15657</v>
      </c>
      <c r="H481" s="28">
        <v>14105.405405405405</v>
      </c>
      <c r="I481" s="19" t="s">
        <v>654</v>
      </c>
      <c r="J481" s="19" t="s">
        <v>655</v>
      </c>
      <c r="K481" s="32" t="s">
        <v>656</v>
      </c>
      <c r="L481" s="22"/>
      <c r="M481" s="22"/>
      <c r="N481" s="22"/>
      <c r="O481" s="20" t="s">
        <v>15</v>
      </c>
      <c r="P481" s="25" t="s">
        <v>16</v>
      </c>
      <c r="Q481" s="16">
        <v>2958465</v>
      </c>
    </row>
    <row r="482" spans="1:17">
      <c r="A482" s="11">
        <f t="shared" si="7"/>
        <v>481</v>
      </c>
      <c r="B482" s="11">
        <v>8010071482</v>
      </c>
      <c r="C482" s="25" t="s">
        <v>747</v>
      </c>
      <c r="D482" s="27">
        <v>35700</v>
      </c>
      <c r="E482" s="11">
        <v>0.51</v>
      </c>
      <c r="F482" s="11" t="s">
        <v>11</v>
      </c>
      <c r="G482" s="44">
        <v>18207</v>
      </c>
      <c r="H482" s="28">
        <v>16402.7027027027</v>
      </c>
      <c r="I482" s="19" t="s">
        <v>654</v>
      </c>
      <c r="J482" s="19" t="s">
        <v>655</v>
      </c>
      <c r="K482" s="32" t="s">
        <v>656</v>
      </c>
      <c r="L482" s="22"/>
      <c r="M482" s="22"/>
      <c r="N482" s="22"/>
      <c r="O482" s="20" t="s">
        <v>15</v>
      </c>
      <c r="P482" s="25" t="s">
        <v>16</v>
      </c>
      <c r="Q482" s="16">
        <v>2958465</v>
      </c>
    </row>
    <row r="483" spans="1:17">
      <c r="A483" s="11">
        <f t="shared" si="7"/>
        <v>482</v>
      </c>
      <c r="B483" s="11">
        <v>8010071483</v>
      </c>
      <c r="C483" s="25" t="s">
        <v>748</v>
      </c>
      <c r="D483" s="27">
        <v>128200</v>
      </c>
      <c r="E483" s="11">
        <v>0.51</v>
      </c>
      <c r="F483" s="11" t="s">
        <v>11</v>
      </c>
      <c r="G483" s="44">
        <v>65382</v>
      </c>
      <c r="H483" s="28">
        <v>58902.7027027027</v>
      </c>
      <c r="I483" s="19" t="s">
        <v>654</v>
      </c>
      <c r="J483" s="19" t="s">
        <v>655</v>
      </c>
      <c r="K483" s="32" t="s">
        <v>656</v>
      </c>
      <c r="L483" s="22"/>
      <c r="M483" s="22"/>
      <c r="N483" s="22"/>
      <c r="O483" s="20" t="s">
        <v>15</v>
      </c>
      <c r="P483" s="25" t="s">
        <v>16</v>
      </c>
      <c r="Q483" s="16">
        <v>2958465</v>
      </c>
    </row>
    <row r="484" spans="1:17">
      <c r="A484" s="11">
        <f t="shared" si="7"/>
        <v>483</v>
      </c>
      <c r="B484" s="11">
        <v>8010071491</v>
      </c>
      <c r="C484" s="25" t="s">
        <v>749</v>
      </c>
      <c r="D484" s="27">
        <v>23800</v>
      </c>
      <c r="E484" s="11">
        <v>0.51</v>
      </c>
      <c r="F484" s="11" t="s">
        <v>11</v>
      </c>
      <c r="G484" s="44">
        <v>12138</v>
      </c>
      <c r="H484" s="28">
        <v>10935.135135135135</v>
      </c>
      <c r="I484" s="19" t="s">
        <v>654</v>
      </c>
      <c r="J484" s="19" t="s">
        <v>655</v>
      </c>
      <c r="K484" s="32" t="s">
        <v>656</v>
      </c>
      <c r="L484" s="22"/>
      <c r="M484" s="22"/>
      <c r="N484" s="22"/>
      <c r="O484" s="20" t="s">
        <v>15</v>
      </c>
      <c r="P484" s="25" t="s">
        <v>16</v>
      </c>
      <c r="Q484" s="16">
        <v>2958465</v>
      </c>
    </row>
    <row r="485" spans="1:17">
      <c r="A485" s="11">
        <f t="shared" si="7"/>
        <v>484</v>
      </c>
      <c r="B485" s="11">
        <v>8010071492</v>
      </c>
      <c r="C485" s="25" t="s">
        <v>750</v>
      </c>
      <c r="D485" s="27">
        <v>24000</v>
      </c>
      <c r="E485" s="11">
        <v>0.51</v>
      </c>
      <c r="F485" s="11" t="s">
        <v>11</v>
      </c>
      <c r="G485" s="44">
        <v>12240</v>
      </c>
      <c r="H485" s="28">
        <v>11027.027027027027</v>
      </c>
      <c r="I485" s="19" t="s">
        <v>654</v>
      </c>
      <c r="J485" s="19" t="s">
        <v>655</v>
      </c>
      <c r="K485" s="32" t="s">
        <v>656</v>
      </c>
      <c r="L485" s="22"/>
      <c r="M485" s="22"/>
      <c r="N485" s="22"/>
      <c r="O485" s="20" t="s">
        <v>15</v>
      </c>
      <c r="P485" s="25" t="s">
        <v>16</v>
      </c>
      <c r="Q485" s="16">
        <v>2958465</v>
      </c>
    </row>
    <row r="486" spans="1:17">
      <c r="A486" s="11">
        <f t="shared" si="7"/>
        <v>485</v>
      </c>
      <c r="B486" s="11">
        <v>8010071493</v>
      </c>
      <c r="C486" s="25" t="s">
        <v>751</v>
      </c>
      <c r="D486" s="27">
        <v>30300</v>
      </c>
      <c r="E486" s="11">
        <v>0.51</v>
      </c>
      <c r="F486" s="11" t="s">
        <v>11</v>
      </c>
      <c r="G486" s="44">
        <v>15453</v>
      </c>
      <c r="H486" s="28">
        <v>13921.62162162162</v>
      </c>
      <c r="I486" s="19" t="s">
        <v>654</v>
      </c>
      <c r="J486" s="19" t="s">
        <v>655</v>
      </c>
      <c r="K486" s="32" t="s">
        <v>656</v>
      </c>
      <c r="L486" s="22"/>
      <c r="M486" s="22"/>
      <c r="N486" s="22"/>
      <c r="O486" s="20" t="s">
        <v>15</v>
      </c>
      <c r="P486" s="25" t="s">
        <v>16</v>
      </c>
      <c r="Q486" s="16">
        <v>2958465</v>
      </c>
    </row>
    <row r="487" spans="1:17">
      <c r="A487" s="11">
        <f t="shared" si="7"/>
        <v>486</v>
      </c>
      <c r="B487" s="11">
        <v>8010071494</v>
      </c>
      <c r="C487" s="25" t="s">
        <v>752</v>
      </c>
      <c r="D487" s="27">
        <v>26200</v>
      </c>
      <c r="E487" s="11">
        <v>0.51</v>
      </c>
      <c r="F487" s="11" t="s">
        <v>11</v>
      </c>
      <c r="G487" s="44">
        <v>13362</v>
      </c>
      <c r="H487" s="28">
        <v>12037.837837837837</v>
      </c>
      <c r="I487" s="19" t="s">
        <v>654</v>
      </c>
      <c r="J487" s="19" t="s">
        <v>655</v>
      </c>
      <c r="K487" s="32" t="s">
        <v>656</v>
      </c>
      <c r="L487" s="22"/>
      <c r="M487" s="22"/>
      <c r="N487" s="22"/>
      <c r="O487" s="20" t="s">
        <v>15</v>
      </c>
      <c r="P487" s="25" t="s">
        <v>16</v>
      </c>
      <c r="Q487" s="16">
        <v>2958465</v>
      </c>
    </row>
    <row r="488" spans="1:17">
      <c r="A488" s="11">
        <f t="shared" si="7"/>
        <v>487</v>
      </c>
      <c r="B488" s="11">
        <v>8010071495</v>
      </c>
      <c r="C488" s="25" t="s">
        <v>753</v>
      </c>
      <c r="D488" s="27">
        <v>193300</v>
      </c>
      <c r="E488" s="11">
        <v>0.51</v>
      </c>
      <c r="F488" s="11" t="s">
        <v>11</v>
      </c>
      <c r="G488" s="44">
        <v>98583</v>
      </c>
      <c r="H488" s="28">
        <v>88813.513513513506</v>
      </c>
      <c r="I488" s="19" t="s">
        <v>654</v>
      </c>
      <c r="J488" s="19" t="s">
        <v>655</v>
      </c>
      <c r="K488" s="32" t="s">
        <v>656</v>
      </c>
      <c r="L488" s="22"/>
      <c r="M488" s="22"/>
      <c r="N488" s="22"/>
      <c r="O488" s="20" t="s">
        <v>15</v>
      </c>
      <c r="P488" s="25" t="s">
        <v>16</v>
      </c>
      <c r="Q488" s="16">
        <v>2958465</v>
      </c>
    </row>
    <row r="489" spans="1:17">
      <c r="A489" s="11">
        <f t="shared" si="7"/>
        <v>488</v>
      </c>
      <c r="B489" s="11">
        <v>8010071496</v>
      </c>
      <c r="C489" s="25" t="s">
        <v>754</v>
      </c>
      <c r="D489" s="27">
        <v>237000</v>
      </c>
      <c r="E489" s="11">
        <v>0.51</v>
      </c>
      <c r="F489" s="11" t="s">
        <v>11</v>
      </c>
      <c r="G489" s="44">
        <v>120870</v>
      </c>
      <c r="H489" s="28">
        <v>108891.89189189188</v>
      </c>
      <c r="I489" s="19" t="s">
        <v>654</v>
      </c>
      <c r="J489" s="19" t="s">
        <v>655</v>
      </c>
      <c r="K489" s="32" t="s">
        <v>656</v>
      </c>
      <c r="L489" s="22"/>
      <c r="M489" s="22"/>
      <c r="N489" s="22"/>
      <c r="O489" s="20" t="s">
        <v>15</v>
      </c>
      <c r="P489" s="25" t="s">
        <v>16</v>
      </c>
      <c r="Q489" s="16">
        <v>2958465</v>
      </c>
    </row>
    <row r="490" spans="1:17">
      <c r="A490" s="11">
        <f t="shared" si="7"/>
        <v>489</v>
      </c>
      <c r="B490" s="11">
        <v>8010071497</v>
      </c>
      <c r="C490" s="25" t="s">
        <v>755</v>
      </c>
      <c r="D490" s="27">
        <v>335900</v>
      </c>
      <c r="E490" s="11">
        <v>0.51</v>
      </c>
      <c r="F490" s="11" t="s">
        <v>11</v>
      </c>
      <c r="G490" s="44">
        <v>171309</v>
      </c>
      <c r="H490" s="28">
        <v>154332.43243243243</v>
      </c>
      <c r="I490" s="19" t="s">
        <v>654</v>
      </c>
      <c r="J490" s="19" t="s">
        <v>655</v>
      </c>
      <c r="K490" s="32" t="s">
        <v>656</v>
      </c>
      <c r="L490" s="22"/>
      <c r="M490" s="22"/>
      <c r="N490" s="22"/>
      <c r="O490" s="20" t="s">
        <v>15</v>
      </c>
      <c r="P490" s="25" t="s">
        <v>16</v>
      </c>
      <c r="Q490" s="16">
        <v>2958465</v>
      </c>
    </row>
    <row r="491" spans="1:17">
      <c r="A491" s="11">
        <f t="shared" si="7"/>
        <v>490</v>
      </c>
      <c r="B491" s="11">
        <v>8010071616</v>
      </c>
      <c r="C491" s="25" t="s">
        <v>756</v>
      </c>
      <c r="D491" s="27">
        <v>107000</v>
      </c>
      <c r="E491" s="11">
        <v>0.51</v>
      </c>
      <c r="F491" s="11" t="s">
        <v>11</v>
      </c>
      <c r="G491" s="44">
        <v>54570</v>
      </c>
      <c r="H491" s="28">
        <v>49162.16216216216</v>
      </c>
      <c r="I491" s="19" t="s">
        <v>654</v>
      </c>
      <c r="J491" s="19" t="s">
        <v>655</v>
      </c>
      <c r="K491" s="32" t="s">
        <v>656</v>
      </c>
      <c r="L491" s="22"/>
      <c r="M491" s="22"/>
      <c r="N491" s="22"/>
      <c r="O491" s="20" t="s">
        <v>15</v>
      </c>
      <c r="P491" s="25" t="s">
        <v>16</v>
      </c>
      <c r="Q491" s="16">
        <v>2958465</v>
      </c>
    </row>
    <row r="492" spans="1:17">
      <c r="A492" s="11">
        <f t="shared" si="7"/>
        <v>491</v>
      </c>
      <c r="B492" s="11">
        <v>8010071731</v>
      </c>
      <c r="C492" s="25" t="s">
        <v>757</v>
      </c>
      <c r="D492" s="27">
        <v>23200</v>
      </c>
      <c r="E492" s="11">
        <v>0.51</v>
      </c>
      <c r="F492" s="11" t="s">
        <v>11</v>
      </c>
      <c r="G492" s="44">
        <v>11832</v>
      </c>
      <c r="H492" s="28">
        <v>10659.459459459458</v>
      </c>
      <c r="I492" s="19" t="s">
        <v>654</v>
      </c>
      <c r="J492" s="19" t="s">
        <v>655</v>
      </c>
      <c r="K492" s="32" t="s">
        <v>656</v>
      </c>
      <c r="L492" s="22"/>
      <c r="M492" s="22"/>
      <c r="N492" s="22"/>
      <c r="O492" s="20" t="s">
        <v>15</v>
      </c>
      <c r="P492" s="25" t="s">
        <v>16</v>
      </c>
      <c r="Q492" s="16">
        <v>2958465</v>
      </c>
    </row>
    <row r="493" spans="1:17">
      <c r="A493" s="11">
        <f t="shared" si="7"/>
        <v>492</v>
      </c>
      <c r="B493" s="11">
        <v>8010071732</v>
      </c>
      <c r="C493" s="25" t="s">
        <v>761</v>
      </c>
      <c r="D493" s="27">
        <v>31300</v>
      </c>
      <c r="E493" s="11">
        <v>0.51</v>
      </c>
      <c r="F493" s="11" t="s">
        <v>11</v>
      </c>
      <c r="G493" s="44">
        <v>15963</v>
      </c>
      <c r="H493" s="28">
        <v>14381.08108108108</v>
      </c>
      <c r="I493" s="19" t="s">
        <v>654</v>
      </c>
      <c r="J493" s="19" t="s">
        <v>655</v>
      </c>
      <c r="K493" s="32" t="s">
        <v>656</v>
      </c>
      <c r="L493" s="22"/>
      <c r="M493" s="22"/>
      <c r="N493" s="22"/>
      <c r="O493" s="20" t="s">
        <v>15</v>
      </c>
      <c r="P493" s="25" t="s">
        <v>16</v>
      </c>
      <c r="Q493" s="16">
        <v>2958465</v>
      </c>
    </row>
    <row r="494" spans="1:17">
      <c r="A494" s="11">
        <f t="shared" si="7"/>
        <v>493</v>
      </c>
      <c r="B494" s="11">
        <v>8010071733</v>
      </c>
      <c r="C494" s="25" t="s">
        <v>770</v>
      </c>
      <c r="D494" s="27">
        <v>18200</v>
      </c>
      <c r="E494" s="11">
        <v>0.51</v>
      </c>
      <c r="F494" s="11" t="s">
        <v>11</v>
      </c>
      <c r="G494" s="44">
        <v>9282</v>
      </c>
      <c r="H494" s="28">
        <v>8362.1621621621616</v>
      </c>
      <c r="I494" s="19" t="s">
        <v>654</v>
      </c>
      <c r="J494" s="19" t="s">
        <v>655</v>
      </c>
      <c r="K494" s="32" t="s">
        <v>656</v>
      </c>
      <c r="L494" s="22"/>
      <c r="M494" s="22"/>
      <c r="N494" s="22"/>
      <c r="O494" s="20" t="s">
        <v>15</v>
      </c>
      <c r="P494" s="25" t="s">
        <v>16</v>
      </c>
      <c r="Q494" s="16">
        <v>2958465</v>
      </c>
    </row>
    <row r="495" spans="1:17">
      <c r="A495" s="11">
        <f t="shared" si="7"/>
        <v>494</v>
      </c>
      <c r="B495" s="11">
        <v>8010071734</v>
      </c>
      <c r="C495" s="25" t="s">
        <v>771</v>
      </c>
      <c r="D495" s="27">
        <v>23900</v>
      </c>
      <c r="E495" s="11">
        <v>0.51</v>
      </c>
      <c r="F495" s="11" t="s">
        <v>11</v>
      </c>
      <c r="G495" s="44">
        <v>12189</v>
      </c>
      <c r="H495" s="28">
        <v>10981.08108108108</v>
      </c>
      <c r="I495" s="19" t="s">
        <v>654</v>
      </c>
      <c r="J495" s="19" t="s">
        <v>655</v>
      </c>
      <c r="K495" s="32" t="s">
        <v>656</v>
      </c>
      <c r="L495" s="22"/>
      <c r="M495" s="22"/>
      <c r="N495" s="22"/>
      <c r="O495" s="20" t="s">
        <v>15</v>
      </c>
      <c r="P495" s="25" t="s">
        <v>16</v>
      </c>
      <c r="Q495" s="16">
        <v>2958465</v>
      </c>
    </row>
    <row r="496" spans="1:17">
      <c r="A496" s="11">
        <f t="shared" si="7"/>
        <v>495</v>
      </c>
      <c r="B496" s="11">
        <v>8010071735</v>
      </c>
      <c r="C496" s="25" t="s">
        <v>772</v>
      </c>
      <c r="D496" s="27">
        <v>33800</v>
      </c>
      <c r="E496" s="11">
        <v>0.51</v>
      </c>
      <c r="F496" s="11" t="s">
        <v>11</v>
      </c>
      <c r="G496" s="44">
        <v>17238</v>
      </c>
      <c r="H496" s="28">
        <v>15529.729729729728</v>
      </c>
      <c r="I496" s="19" t="s">
        <v>654</v>
      </c>
      <c r="J496" s="19" t="s">
        <v>655</v>
      </c>
      <c r="K496" s="32" t="s">
        <v>656</v>
      </c>
      <c r="L496" s="22"/>
      <c r="M496" s="22"/>
      <c r="N496" s="22"/>
      <c r="O496" s="20" t="s">
        <v>15</v>
      </c>
      <c r="P496" s="25" t="s">
        <v>16</v>
      </c>
      <c r="Q496" s="16">
        <v>2958465</v>
      </c>
    </row>
    <row r="497" spans="1:17">
      <c r="A497" s="11">
        <f t="shared" si="7"/>
        <v>496</v>
      </c>
      <c r="B497" s="11">
        <v>8010071736</v>
      </c>
      <c r="C497" s="25" t="s">
        <v>1025</v>
      </c>
      <c r="D497" s="27">
        <v>411500</v>
      </c>
      <c r="E497" s="11">
        <v>0.43</v>
      </c>
      <c r="F497" s="11" t="s">
        <v>11</v>
      </c>
      <c r="G497" s="44">
        <v>176945</v>
      </c>
      <c r="H497" s="28">
        <v>159409.90990990988</v>
      </c>
      <c r="I497" s="19" t="s">
        <v>654</v>
      </c>
      <c r="J497" s="19" t="s">
        <v>655</v>
      </c>
      <c r="K497" s="32" t="s">
        <v>834</v>
      </c>
      <c r="L497" s="22"/>
      <c r="M497" s="22"/>
      <c r="N497" s="22"/>
      <c r="O497" s="20" t="s">
        <v>15</v>
      </c>
      <c r="P497" s="25" t="s">
        <v>16</v>
      </c>
      <c r="Q497" s="16">
        <v>2958465</v>
      </c>
    </row>
    <row r="498" spans="1:17">
      <c r="A498" s="11">
        <f t="shared" si="7"/>
        <v>497</v>
      </c>
      <c r="B498" s="11">
        <v>8010071874</v>
      </c>
      <c r="C498" s="25" t="s">
        <v>773</v>
      </c>
      <c r="D498" s="27">
        <v>1100500</v>
      </c>
      <c r="E498" s="11">
        <v>0.51</v>
      </c>
      <c r="F498" s="11" t="s">
        <v>11</v>
      </c>
      <c r="G498" s="44">
        <v>561255</v>
      </c>
      <c r="H498" s="28">
        <v>505635.13513513509</v>
      </c>
      <c r="I498" s="19" t="s">
        <v>654</v>
      </c>
      <c r="J498" s="19" t="s">
        <v>655</v>
      </c>
      <c r="K498" s="32" t="s">
        <v>656</v>
      </c>
      <c r="L498" s="22"/>
      <c r="M498" s="22"/>
      <c r="N498" s="22"/>
      <c r="O498" s="20" t="s">
        <v>15</v>
      </c>
      <c r="P498" s="25" t="s">
        <v>16</v>
      </c>
      <c r="Q498" s="16">
        <v>2958465</v>
      </c>
    </row>
    <row r="499" spans="1:17">
      <c r="A499" s="11">
        <f t="shared" si="7"/>
        <v>498</v>
      </c>
      <c r="B499" s="11">
        <v>8010071875</v>
      </c>
      <c r="C499" s="25" t="s">
        <v>774</v>
      </c>
      <c r="D499" s="27">
        <v>902800</v>
      </c>
      <c r="E499" s="11">
        <v>0.51</v>
      </c>
      <c r="F499" s="11" t="s">
        <v>11</v>
      </c>
      <c r="G499" s="44">
        <v>460428</v>
      </c>
      <c r="H499" s="28">
        <v>414799.99999999994</v>
      </c>
      <c r="I499" s="19" t="s">
        <v>654</v>
      </c>
      <c r="J499" s="19" t="s">
        <v>655</v>
      </c>
      <c r="K499" s="32" t="s">
        <v>656</v>
      </c>
      <c r="L499" s="22"/>
      <c r="M499" s="22"/>
      <c r="N499" s="22"/>
      <c r="O499" s="20" t="s">
        <v>15</v>
      </c>
      <c r="P499" s="25" t="s">
        <v>16</v>
      </c>
      <c r="Q499" s="16">
        <v>2958465</v>
      </c>
    </row>
    <row r="500" spans="1:17">
      <c r="A500" s="11">
        <f t="shared" si="7"/>
        <v>499</v>
      </c>
      <c r="B500" s="11">
        <v>8010072270</v>
      </c>
      <c r="C500" s="25" t="s">
        <v>775</v>
      </c>
      <c r="D500" s="27">
        <v>56000</v>
      </c>
      <c r="E500" s="11">
        <v>0.51</v>
      </c>
      <c r="F500" s="11" t="s">
        <v>11</v>
      </c>
      <c r="G500" s="44">
        <v>28560</v>
      </c>
      <c r="H500" s="28">
        <v>25729.729729729726</v>
      </c>
      <c r="I500" s="19" t="s">
        <v>654</v>
      </c>
      <c r="J500" s="19" t="s">
        <v>655</v>
      </c>
      <c r="K500" s="32" t="s">
        <v>656</v>
      </c>
      <c r="L500" s="22"/>
      <c r="M500" s="22"/>
      <c r="N500" s="22"/>
      <c r="O500" s="20" t="s">
        <v>15</v>
      </c>
      <c r="P500" s="25" t="s">
        <v>16</v>
      </c>
      <c r="Q500" s="16">
        <v>2958465</v>
      </c>
    </row>
    <row r="501" spans="1:17">
      <c r="A501" s="11">
        <f t="shared" si="7"/>
        <v>500</v>
      </c>
      <c r="B501" s="11">
        <v>8010072271</v>
      </c>
      <c r="C501" s="25" t="s">
        <v>776</v>
      </c>
      <c r="D501" s="27">
        <v>80100</v>
      </c>
      <c r="E501" s="11">
        <v>0.51</v>
      </c>
      <c r="F501" s="11" t="s">
        <v>11</v>
      </c>
      <c r="G501" s="44">
        <v>40851</v>
      </c>
      <c r="H501" s="28">
        <v>36802.7027027027</v>
      </c>
      <c r="I501" s="19" t="s">
        <v>654</v>
      </c>
      <c r="J501" s="19" t="s">
        <v>655</v>
      </c>
      <c r="K501" s="32" t="s">
        <v>656</v>
      </c>
      <c r="L501" s="22"/>
      <c r="M501" s="22"/>
      <c r="N501" s="22"/>
      <c r="O501" s="20" t="s">
        <v>15</v>
      </c>
      <c r="P501" s="25" t="s">
        <v>16</v>
      </c>
      <c r="Q501" s="16">
        <v>2958465</v>
      </c>
    </row>
    <row r="502" spans="1:17">
      <c r="A502" s="11">
        <f t="shared" si="7"/>
        <v>501</v>
      </c>
      <c r="B502" s="11">
        <v>8010072272</v>
      </c>
      <c r="C502" s="25" t="s">
        <v>777</v>
      </c>
      <c r="D502" s="27">
        <v>73800</v>
      </c>
      <c r="E502" s="11">
        <v>0.51</v>
      </c>
      <c r="F502" s="11" t="s">
        <v>11</v>
      </c>
      <c r="G502" s="44">
        <v>37638</v>
      </c>
      <c r="H502" s="28">
        <v>33908.108108108107</v>
      </c>
      <c r="I502" s="19" t="s">
        <v>654</v>
      </c>
      <c r="J502" s="19" t="s">
        <v>655</v>
      </c>
      <c r="K502" s="32" t="s">
        <v>656</v>
      </c>
      <c r="L502" s="22"/>
      <c r="M502" s="22"/>
      <c r="N502" s="22"/>
      <c r="O502" s="20" t="s">
        <v>15</v>
      </c>
      <c r="P502" s="25" t="s">
        <v>16</v>
      </c>
      <c r="Q502" s="16">
        <v>2958465</v>
      </c>
    </row>
    <row r="503" spans="1:17">
      <c r="A503" s="11">
        <f t="shared" si="7"/>
        <v>502</v>
      </c>
      <c r="B503" s="11">
        <v>8010072273</v>
      </c>
      <c r="C503" s="25" t="s">
        <v>778</v>
      </c>
      <c r="D503" s="27">
        <v>101300</v>
      </c>
      <c r="E503" s="11">
        <v>0.51</v>
      </c>
      <c r="F503" s="11" t="s">
        <v>11</v>
      </c>
      <c r="G503" s="44">
        <v>51663</v>
      </c>
      <c r="H503" s="28">
        <v>46543.24324324324</v>
      </c>
      <c r="I503" s="19" t="s">
        <v>654</v>
      </c>
      <c r="J503" s="19" t="s">
        <v>655</v>
      </c>
      <c r="K503" s="32" t="s">
        <v>656</v>
      </c>
      <c r="L503" s="22"/>
      <c r="M503" s="22"/>
      <c r="N503" s="22"/>
      <c r="O503" s="20" t="s">
        <v>15</v>
      </c>
      <c r="P503" s="25" t="s">
        <v>16</v>
      </c>
      <c r="Q503" s="16">
        <v>2958465</v>
      </c>
    </row>
    <row r="504" spans="1:17">
      <c r="A504" s="11">
        <f t="shared" si="7"/>
        <v>503</v>
      </c>
      <c r="B504" s="11">
        <v>8010072304</v>
      </c>
      <c r="C504" s="25" t="s">
        <v>1026</v>
      </c>
      <c r="D504" s="27">
        <v>59400</v>
      </c>
      <c r="E504" s="11">
        <v>0.43</v>
      </c>
      <c r="F504" s="11" t="s">
        <v>11</v>
      </c>
      <c r="G504" s="44">
        <v>25542</v>
      </c>
      <c r="H504" s="28">
        <v>23010.81081081081</v>
      </c>
      <c r="I504" s="19" t="s">
        <v>654</v>
      </c>
      <c r="J504" s="19" t="s">
        <v>655</v>
      </c>
      <c r="K504" s="32" t="s">
        <v>834</v>
      </c>
      <c r="L504" s="22"/>
      <c r="M504" s="22"/>
      <c r="N504" s="22"/>
      <c r="O504" s="20" t="s">
        <v>15</v>
      </c>
      <c r="P504" s="25" t="s">
        <v>16</v>
      </c>
      <c r="Q504" s="16">
        <v>2958465</v>
      </c>
    </row>
    <row r="505" spans="1:17">
      <c r="A505" s="11">
        <f t="shared" si="7"/>
        <v>504</v>
      </c>
      <c r="B505" s="11">
        <v>8010072305</v>
      </c>
      <c r="C505" s="25" t="s">
        <v>779</v>
      </c>
      <c r="D505" s="27">
        <v>99500</v>
      </c>
      <c r="E505" s="11">
        <v>0.51</v>
      </c>
      <c r="F505" s="11" t="s">
        <v>11</v>
      </c>
      <c r="G505" s="44">
        <v>50745</v>
      </c>
      <c r="H505" s="28">
        <v>45716.216216216213</v>
      </c>
      <c r="I505" s="19" t="s">
        <v>654</v>
      </c>
      <c r="J505" s="19" t="s">
        <v>655</v>
      </c>
      <c r="K505" s="32" t="s">
        <v>656</v>
      </c>
      <c r="L505" s="22"/>
      <c r="M505" s="22"/>
      <c r="N505" s="22"/>
      <c r="O505" s="20" t="s">
        <v>15</v>
      </c>
      <c r="P505" s="25" t="s">
        <v>16</v>
      </c>
      <c r="Q505" s="16">
        <v>2958465</v>
      </c>
    </row>
    <row r="506" spans="1:17">
      <c r="A506" s="11">
        <f t="shared" si="7"/>
        <v>505</v>
      </c>
      <c r="B506" s="11">
        <v>8010072306</v>
      </c>
      <c r="C506" s="25" t="s">
        <v>780</v>
      </c>
      <c r="D506" s="27">
        <v>142000</v>
      </c>
      <c r="E506" s="11">
        <v>0.51</v>
      </c>
      <c r="F506" s="11" t="s">
        <v>11</v>
      </c>
      <c r="G506" s="44">
        <v>72420</v>
      </c>
      <c r="H506" s="28">
        <v>65243.24324324324</v>
      </c>
      <c r="I506" s="19" t="s">
        <v>654</v>
      </c>
      <c r="J506" s="19" t="s">
        <v>655</v>
      </c>
      <c r="K506" s="32" t="s">
        <v>656</v>
      </c>
      <c r="L506" s="22"/>
      <c r="M506" s="22"/>
      <c r="N506" s="22"/>
      <c r="O506" s="20" t="s">
        <v>15</v>
      </c>
      <c r="P506" s="25" t="s">
        <v>16</v>
      </c>
      <c r="Q506" s="16">
        <v>2958465</v>
      </c>
    </row>
    <row r="507" spans="1:17">
      <c r="A507" s="11">
        <f t="shared" si="7"/>
        <v>506</v>
      </c>
      <c r="B507" s="11">
        <v>8010072307</v>
      </c>
      <c r="C507" s="25" t="s">
        <v>781</v>
      </c>
      <c r="D507" s="27">
        <v>138900</v>
      </c>
      <c r="E507" s="11">
        <v>0.51</v>
      </c>
      <c r="F507" s="11" t="s">
        <v>11</v>
      </c>
      <c r="G507" s="44">
        <v>70839</v>
      </c>
      <c r="H507" s="28">
        <v>63818.918918918913</v>
      </c>
      <c r="I507" s="19" t="s">
        <v>654</v>
      </c>
      <c r="J507" s="19" t="s">
        <v>655</v>
      </c>
      <c r="K507" s="32" t="s">
        <v>656</v>
      </c>
      <c r="L507" s="22"/>
      <c r="M507" s="22"/>
      <c r="N507" s="22"/>
      <c r="O507" s="20" t="s">
        <v>15</v>
      </c>
      <c r="P507" s="25" t="s">
        <v>16</v>
      </c>
      <c r="Q507" s="16">
        <v>2958465</v>
      </c>
    </row>
    <row r="508" spans="1:17">
      <c r="A508" s="11">
        <f t="shared" si="7"/>
        <v>507</v>
      </c>
      <c r="B508" s="11">
        <v>8010072308</v>
      </c>
      <c r="C508" s="25" t="s">
        <v>782</v>
      </c>
      <c r="D508" s="27">
        <v>181400</v>
      </c>
      <c r="E508" s="11">
        <v>0.51</v>
      </c>
      <c r="F508" s="11" t="s">
        <v>11</v>
      </c>
      <c r="G508" s="44">
        <v>92514</v>
      </c>
      <c r="H508" s="28">
        <v>83345.945945945932</v>
      </c>
      <c r="I508" s="19" t="s">
        <v>654</v>
      </c>
      <c r="J508" s="19" t="s">
        <v>655</v>
      </c>
      <c r="K508" s="32" t="s">
        <v>656</v>
      </c>
      <c r="L508" s="22"/>
      <c r="M508" s="22"/>
      <c r="N508" s="22"/>
      <c r="O508" s="20" t="s">
        <v>15</v>
      </c>
      <c r="P508" s="25" t="s">
        <v>16</v>
      </c>
      <c r="Q508" s="16">
        <v>2958465</v>
      </c>
    </row>
    <row r="509" spans="1:17">
      <c r="A509" s="11">
        <f t="shared" si="7"/>
        <v>508</v>
      </c>
      <c r="B509" s="11">
        <v>8010072347</v>
      </c>
      <c r="C509" s="25" t="s">
        <v>783</v>
      </c>
      <c r="D509" s="27">
        <v>22300</v>
      </c>
      <c r="E509" s="11">
        <v>0.51</v>
      </c>
      <c r="F509" s="11" t="s">
        <v>11</v>
      </c>
      <c r="G509" s="44">
        <v>11373</v>
      </c>
      <c r="H509" s="28">
        <v>10245.945945945945</v>
      </c>
      <c r="I509" s="19" t="s">
        <v>654</v>
      </c>
      <c r="J509" s="19" t="s">
        <v>655</v>
      </c>
      <c r="K509" s="32" t="s">
        <v>656</v>
      </c>
      <c r="L509" s="22"/>
      <c r="M509" s="22"/>
      <c r="N509" s="22"/>
      <c r="O509" s="20" t="s">
        <v>15</v>
      </c>
      <c r="P509" s="25" t="s">
        <v>16</v>
      </c>
      <c r="Q509" s="16">
        <v>2958465</v>
      </c>
    </row>
    <row r="510" spans="1:17">
      <c r="A510" s="11">
        <f t="shared" si="7"/>
        <v>509</v>
      </c>
      <c r="B510" s="11">
        <v>8010072348</v>
      </c>
      <c r="C510" s="25" t="s">
        <v>784</v>
      </c>
      <c r="D510" s="27">
        <v>17600</v>
      </c>
      <c r="E510" s="11">
        <v>0.51</v>
      </c>
      <c r="F510" s="11" t="s">
        <v>11</v>
      </c>
      <c r="G510" s="44">
        <v>8976</v>
      </c>
      <c r="H510" s="28">
        <v>8086.4864864864858</v>
      </c>
      <c r="I510" s="19" t="s">
        <v>654</v>
      </c>
      <c r="J510" s="19" t="s">
        <v>655</v>
      </c>
      <c r="K510" s="32" t="s">
        <v>656</v>
      </c>
      <c r="L510" s="22"/>
      <c r="M510" s="22"/>
      <c r="N510" s="22"/>
      <c r="O510" s="20" t="s">
        <v>15</v>
      </c>
      <c r="P510" s="25" t="s">
        <v>16</v>
      </c>
      <c r="Q510" s="16">
        <v>2958465</v>
      </c>
    </row>
    <row r="511" spans="1:17">
      <c r="A511" s="11">
        <f t="shared" si="7"/>
        <v>510</v>
      </c>
      <c r="B511" s="11">
        <v>8010072349</v>
      </c>
      <c r="C511" s="25" t="s">
        <v>785</v>
      </c>
      <c r="D511" s="27">
        <v>78200</v>
      </c>
      <c r="E511" s="11">
        <v>0.51</v>
      </c>
      <c r="F511" s="11" t="s">
        <v>11</v>
      </c>
      <c r="G511" s="44">
        <v>39882</v>
      </c>
      <c r="H511" s="28">
        <v>35929.729729729726</v>
      </c>
      <c r="I511" s="19" t="s">
        <v>654</v>
      </c>
      <c r="J511" s="19" t="s">
        <v>655</v>
      </c>
      <c r="K511" s="32" t="s">
        <v>656</v>
      </c>
      <c r="L511" s="22"/>
      <c r="M511" s="22"/>
      <c r="N511" s="22"/>
      <c r="O511" s="20" t="s">
        <v>15</v>
      </c>
      <c r="P511" s="25" t="s">
        <v>16</v>
      </c>
      <c r="Q511" s="16">
        <v>2958465</v>
      </c>
    </row>
    <row r="512" spans="1:17">
      <c r="A512" s="11">
        <f t="shared" si="7"/>
        <v>511</v>
      </c>
      <c r="B512" s="11">
        <v>8010072350</v>
      </c>
      <c r="C512" s="25" t="s">
        <v>786</v>
      </c>
      <c r="D512" s="27">
        <v>29900</v>
      </c>
      <c r="E512" s="11">
        <v>0.51</v>
      </c>
      <c r="F512" s="11" t="s">
        <v>11</v>
      </c>
      <c r="G512" s="44">
        <v>15249</v>
      </c>
      <c r="H512" s="28">
        <v>13737.837837837837</v>
      </c>
      <c r="I512" s="19" t="s">
        <v>654</v>
      </c>
      <c r="J512" s="19" t="s">
        <v>655</v>
      </c>
      <c r="K512" s="32" t="s">
        <v>656</v>
      </c>
      <c r="L512" s="22"/>
      <c r="M512" s="22"/>
      <c r="N512" s="22"/>
      <c r="O512" s="20" t="s">
        <v>15</v>
      </c>
      <c r="P512" s="25" t="s">
        <v>16</v>
      </c>
      <c r="Q512" s="16">
        <v>2958465</v>
      </c>
    </row>
    <row r="513" spans="1:17">
      <c r="A513" s="11">
        <f t="shared" si="7"/>
        <v>512</v>
      </c>
      <c r="B513" s="11">
        <v>8010072351</v>
      </c>
      <c r="C513" s="25" t="s">
        <v>787</v>
      </c>
      <c r="D513" s="27">
        <v>108200</v>
      </c>
      <c r="E513" s="11">
        <v>0.51</v>
      </c>
      <c r="F513" s="11" t="s">
        <v>11</v>
      </c>
      <c r="G513" s="44">
        <v>55182</v>
      </c>
      <c r="H513" s="28">
        <v>49713.513513513506</v>
      </c>
      <c r="I513" s="19" t="s">
        <v>654</v>
      </c>
      <c r="J513" s="19" t="s">
        <v>655</v>
      </c>
      <c r="K513" s="32" t="s">
        <v>656</v>
      </c>
      <c r="L513" s="22"/>
      <c r="M513" s="22"/>
      <c r="N513" s="22"/>
      <c r="O513" s="20" t="s">
        <v>15</v>
      </c>
      <c r="P513" s="25" t="s">
        <v>16</v>
      </c>
      <c r="Q513" s="16">
        <v>2958465</v>
      </c>
    </row>
    <row r="514" spans="1:17">
      <c r="A514" s="11">
        <f t="shared" si="7"/>
        <v>513</v>
      </c>
      <c r="B514" s="11">
        <v>8010072352</v>
      </c>
      <c r="C514" s="25" t="s">
        <v>788</v>
      </c>
      <c r="D514" s="27">
        <v>30900</v>
      </c>
      <c r="E514" s="11">
        <v>0.51</v>
      </c>
      <c r="F514" s="11" t="s">
        <v>11</v>
      </c>
      <c r="G514" s="44">
        <v>15759</v>
      </c>
      <c r="H514" s="28">
        <v>14197.297297297297</v>
      </c>
      <c r="I514" s="19" t="s">
        <v>654</v>
      </c>
      <c r="J514" s="19" t="s">
        <v>655</v>
      </c>
      <c r="K514" s="32" t="s">
        <v>656</v>
      </c>
      <c r="L514" s="22"/>
      <c r="M514" s="22"/>
      <c r="N514" s="22"/>
      <c r="O514" s="20" t="s">
        <v>15</v>
      </c>
      <c r="P514" s="25" t="s">
        <v>16</v>
      </c>
      <c r="Q514" s="16">
        <v>2958465</v>
      </c>
    </row>
    <row r="515" spans="1:17">
      <c r="A515" s="11">
        <f t="shared" si="7"/>
        <v>514</v>
      </c>
      <c r="B515" s="11">
        <v>8010072354</v>
      </c>
      <c r="C515" s="25" t="s">
        <v>789</v>
      </c>
      <c r="D515" s="27">
        <v>23800</v>
      </c>
      <c r="E515" s="11">
        <v>0.51</v>
      </c>
      <c r="F515" s="11" t="s">
        <v>11</v>
      </c>
      <c r="G515" s="44">
        <v>12138</v>
      </c>
      <c r="H515" s="28">
        <v>10935.135135135135</v>
      </c>
      <c r="I515" s="19" t="s">
        <v>654</v>
      </c>
      <c r="J515" s="19" t="s">
        <v>655</v>
      </c>
      <c r="K515" s="32" t="s">
        <v>656</v>
      </c>
      <c r="L515" s="22"/>
      <c r="M515" s="22"/>
      <c r="N515" s="22"/>
      <c r="O515" s="20" t="s">
        <v>15</v>
      </c>
      <c r="P515" s="25" t="s">
        <v>16</v>
      </c>
      <c r="Q515" s="16">
        <v>2958465</v>
      </c>
    </row>
    <row r="516" spans="1:17">
      <c r="A516" s="11">
        <f t="shared" si="7"/>
        <v>515</v>
      </c>
      <c r="B516" s="11">
        <v>8010072355</v>
      </c>
      <c r="C516" s="25" t="s">
        <v>769</v>
      </c>
      <c r="D516" s="27">
        <v>148900</v>
      </c>
      <c r="E516" s="11">
        <v>0.51</v>
      </c>
      <c r="F516" s="11" t="s">
        <v>11</v>
      </c>
      <c r="G516" s="44">
        <v>75939</v>
      </c>
      <c r="H516" s="28">
        <v>68413.513513513506</v>
      </c>
      <c r="I516" s="19" t="s">
        <v>654</v>
      </c>
      <c r="J516" s="19" t="s">
        <v>655</v>
      </c>
      <c r="K516" s="32" t="s">
        <v>656</v>
      </c>
      <c r="L516" s="22"/>
      <c r="M516" s="22"/>
      <c r="N516" s="22"/>
      <c r="O516" s="20" t="s">
        <v>15</v>
      </c>
      <c r="P516" s="25" t="s">
        <v>16</v>
      </c>
      <c r="Q516" s="16">
        <v>2958465</v>
      </c>
    </row>
    <row r="517" spans="1:17">
      <c r="A517" s="11">
        <f t="shared" ref="A517:A580" si="8">ROW()-1</f>
        <v>516</v>
      </c>
      <c r="B517" s="11">
        <v>8010072356</v>
      </c>
      <c r="C517" s="25" t="s">
        <v>762</v>
      </c>
      <c r="D517" s="27">
        <v>163300</v>
      </c>
      <c r="E517" s="11">
        <v>0.51</v>
      </c>
      <c r="F517" s="11" t="s">
        <v>11</v>
      </c>
      <c r="G517" s="44">
        <v>83283</v>
      </c>
      <c r="H517" s="28">
        <v>75029.729729729719</v>
      </c>
      <c r="I517" s="19" t="s">
        <v>654</v>
      </c>
      <c r="J517" s="19" t="s">
        <v>655</v>
      </c>
      <c r="K517" s="32" t="s">
        <v>656</v>
      </c>
      <c r="L517" s="22"/>
      <c r="M517" s="22"/>
      <c r="N517" s="22"/>
      <c r="O517" s="20" t="s">
        <v>15</v>
      </c>
      <c r="P517" s="25" t="s">
        <v>16</v>
      </c>
      <c r="Q517" s="16">
        <v>2958465</v>
      </c>
    </row>
    <row r="518" spans="1:17">
      <c r="A518" s="11">
        <f t="shared" si="8"/>
        <v>517</v>
      </c>
      <c r="B518" s="11">
        <v>8010072357</v>
      </c>
      <c r="C518" s="25" t="s">
        <v>763</v>
      </c>
      <c r="D518" s="27">
        <v>277100</v>
      </c>
      <c r="E518" s="11">
        <v>0.51</v>
      </c>
      <c r="F518" s="11" t="s">
        <v>11</v>
      </c>
      <c r="G518" s="44">
        <v>141321</v>
      </c>
      <c r="H518" s="28">
        <v>127316.2162162162</v>
      </c>
      <c r="I518" s="19" t="s">
        <v>654</v>
      </c>
      <c r="J518" s="19" t="s">
        <v>655</v>
      </c>
      <c r="K518" s="32" t="s">
        <v>656</v>
      </c>
      <c r="L518" s="22"/>
      <c r="M518" s="22"/>
      <c r="N518" s="22"/>
      <c r="O518" s="20" t="s">
        <v>15</v>
      </c>
      <c r="P518" s="25" t="s">
        <v>16</v>
      </c>
      <c r="Q518" s="16">
        <v>2958465</v>
      </c>
    </row>
    <row r="519" spans="1:17">
      <c r="A519" s="11">
        <f t="shared" si="8"/>
        <v>518</v>
      </c>
      <c r="B519" s="11">
        <v>8010072358</v>
      </c>
      <c r="C519" s="25" t="s">
        <v>764</v>
      </c>
      <c r="D519" s="27">
        <v>347200</v>
      </c>
      <c r="E519" s="11">
        <v>0.51</v>
      </c>
      <c r="F519" s="11" t="s">
        <v>11</v>
      </c>
      <c r="G519" s="44">
        <v>177072</v>
      </c>
      <c r="H519" s="28">
        <v>159524.32432432432</v>
      </c>
      <c r="I519" s="19" t="s">
        <v>654</v>
      </c>
      <c r="J519" s="19" t="s">
        <v>655</v>
      </c>
      <c r="K519" s="32" t="s">
        <v>656</v>
      </c>
      <c r="L519" s="22"/>
      <c r="M519" s="22"/>
      <c r="N519" s="22"/>
      <c r="O519" s="20" t="s">
        <v>15</v>
      </c>
      <c r="P519" s="25" t="s">
        <v>16</v>
      </c>
      <c r="Q519" s="16">
        <v>2958465</v>
      </c>
    </row>
    <row r="520" spans="1:17">
      <c r="A520" s="11">
        <f t="shared" si="8"/>
        <v>519</v>
      </c>
      <c r="B520" s="11">
        <v>8010072359</v>
      </c>
      <c r="C520" s="25" t="s">
        <v>765</v>
      </c>
      <c r="D520" s="27">
        <v>37600</v>
      </c>
      <c r="E520" s="11">
        <v>0.51</v>
      </c>
      <c r="F520" s="11" t="s">
        <v>11</v>
      </c>
      <c r="G520" s="44">
        <v>19176</v>
      </c>
      <c r="H520" s="28">
        <v>17275.675675675673</v>
      </c>
      <c r="I520" s="19" t="s">
        <v>654</v>
      </c>
      <c r="J520" s="19" t="s">
        <v>655</v>
      </c>
      <c r="K520" s="32" t="s">
        <v>656</v>
      </c>
      <c r="L520" s="22"/>
      <c r="M520" s="22"/>
      <c r="N520" s="22"/>
      <c r="O520" s="20" t="s">
        <v>15</v>
      </c>
      <c r="P520" s="25" t="s">
        <v>16</v>
      </c>
      <c r="Q520" s="16">
        <v>2958465</v>
      </c>
    </row>
    <row r="521" spans="1:17">
      <c r="A521" s="11">
        <f t="shared" si="8"/>
        <v>520</v>
      </c>
      <c r="B521" s="11">
        <v>8010072360</v>
      </c>
      <c r="C521" s="25" t="s">
        <v>766</v>
      </c>
      <c r="D521" s="27">
        <v>38800</v>
      </c>
      <c r="E521" s="11">
        <v>0.51</v>
      </c>
      <c r="F521" s="11" t="s">
        <v>11</v>
      </c>
      <c r="G521" s="44">
        <v>19788</v>
      </c>
      <c r="H521" s="28">
        <v>17827.027027027027</v>
      </c>
      <c r="I521" s="19" t="s">
        <v>654</v>
      </c>
      <c r="J521" s="19" t="s">
        <v>655</v>
      </c>
      <c r="K521" s="32" t="s">
        <v>656</v>
      </c>
      <c r="L521" s="22"/>
      <c r="M521" s="22"/>
      <c r="N521" s="22"/>
      <c r="O521" s="20" t="s">
        <v>15</v>
      </c>
      <c r="P521" s="25" t="s">
        <v>16</v>
      </c>
      <c r="Q521" s="16">
        <v>2958465</v>
      </c>
    </row>
    <row r="522" spans="1:17">
      <c r="A522" s="11">
        <f t="shared" si="8"/>
        <v>521</v>
      </c>
      <c r="B522" s="11">
        <v>8010072361</v>
      </c>
      <c r="C522" s="25" t="s">
        <v>1010</v>
      </c>
      <c r="D522" s="27">
        <v>33000</v>
      </c>
      <c r="E522" s="11">
        <v>0.43</v>
      </c>
      <c r="F522" s="11" t="s">
        <v>11</v>
      </c>
      <c r="G522" s="44">
        <v>14190</v>
      </c>
      <c r="H522" s="28">
        <v>12783.783783783783</v>
      </c>
      <c r="I522" s="19" t="s">
        <v>654</v>
      </c>
      <c r="J522" s="19" t="s">
        <v>655</v>
      </c>
      <c r="K522" s="32" t="s">
        <v>834</v>
      </c>
      <c r="L522" s="22"/>
      <c r="M522" s="22"/>
      <c r="N522" s="22"/>
      <c r="O522" s="20" t="s">
        <v>15</v>
      </c>
      <c r="P522" s="25" t="s">
        <v>16</v>
      </c>
      <c r="Q522" s="16">
        <v>2958465</v>
      </c>
    </row>
    <row r="523" spans="1:17">
      <c r="A523" s="11">
        <f t="shared" si="8"/>
        <v>522</v>
      </c>
      <c r="B523" s="11">
        <v>8010072362</v>
      </c>
      <c r="C523" s="25" t="s">
        <v>767</v>
      </c>
      <c r="D523" s="27">
        <v>29700</v>
      </c>
      <c r="E523" s="11">
        <v>0.51</v>
      </c>
      <c r="F523" s="11" t="s">
        <v>11</v>
      </c>
      <c r="G523" s="44">
        <v>15147</v>
      </c>
      <c r="H523" s="28">
        <v>13645.945945945945</v>
      </c>
      <c r="I523" s="19" t="s">
        <v>654</v>
      </c>
      <c r="J523" s="19" t="s">
        <v>655</v>
      </c>
      <c r="K523" s="32" t="s">
        <v>656</v>
      </c>
      <c r="L523" s="22"/>
      <c r="M523" s="22"/>
      <c r="N523" s="22"/>
      <c r="O523" s="20" t="s">
        <v>15</v>
      </c>
      <c r="P523" s="25" t="s">
        <v>16</v>
      </c>
      <c r="Q523" s="16">
        <v>2958465</v>
      </c>
    </row>
    <row r="524" spans="1:17">
      <c r="A524" s="11">
        <f t="shared" si="8"/>
        <v>523</v>
      </c>
      <c r="B524" s="11">
        <v>8010072466</v>
      </c>
      <c r="C524" s="25" t="s">
        <v>1011</v>
      </c>
      <c r="D524" s="27">
        <v>2500</v>
      </c>
      <c r="E524" s="11">
        <v>0.43</v>
      </c>
      <c r="F524" s="11" t="s">
        <v>11</v>
      </c>
      <c r="G524" s="44">
        <v>1075</v>
      </c>
      <c r="H524" s="28">
        <v>968.46846846846836</v>
      </c>
      <c r="I524" s="19" t="s">
        <v>654</v>
      </c>
      <c r="J524" s="19" t="s">
        <v>655</v>
      </c>
      <c r="K524" s="32" t="s">
        <v>834</v>
      </c>
      <c r="L524" s="22"/>
      <c r="M524" s="22"/>
      <c r="N524" s="22"/>
      <c r="O524" s="20" t="s">
        <v>15</v>
      </c>
      <c r="P524" s="25" t="s">
        <v>16</v>
      </c>
      <c r="Q524" s="16">
        <v>2958465</v>
      </c>
    </row>
    <row r="525" spans="1:17">
      <c r="A525" s="11">
        <f t="shared" si="8"/>
        <v>524</v>
      </c>
      <c r="B525" s="11">
        <v>8010072467</v>
      </c>
      <c r="C525" s="25" t="s">
        <v>1012</v>
      </c>
      <c r="D525" s="27">
        <v>3800</v>
      </c>
      <c r="E525" s="11">
        <v>0.43</v>
      </c>
      <c r="F525" s="11" t="s">
        <v>11</v>
      </c>
      <c r="G525" s="44">
        <v>1634</v>
      </c>
      <c r="H525" s="28">
        <v>1472.0720720720719</v>
      </c>
      <c r="I525" s="19" t="s">
        <v>654</v>
      </c>
      <c r="J525" s="19" t="s">
        <v>655</v>
      </c>
      <c r="K525" s="32" t="s">
        <v>834</v>
      </c>
      <c r="L525" s="22"/>
      <c r="M525" s="22"/>
      <c r="N525" s="22"/>
      <c r="O525" s="20" t="s">
        <v>15</v>
      </c>
      <c r="P525" s="25" t="s">
        <v>16</v>
      </c>
      <c r="Q525" s="16">
        <v>2958465</v>
      </c>
    </row>
    <row r="526" spans="1:17">
      <c r="A526" s="11">
        <f t="shared" si="8"/>
        <v>525</v>
      </c>
      <c r="B526" s="11">
        <v>8010072468</v>
      </c>
      <c r="C526" s="25" t="s">
        <v>1013</v>
      </c>
      <c r="D526" s="27">
        <v>6300</v>
      </c>
      <c r="E526" s="11">
        <v>0.43</v>
      </c>
      <c r="F526" s="11" t="s">
        <v>11</v>
      </c>
      <c r="G526" s="44">
        <v>2709</v>
      </c>
      <c r="H526" s="28">
        <v>2440.5405405405404</v>
      </c>
      <c r="I526" s="19" t="s">
        <v>654</v>
      </c>
      <c r="J526" s="19" t="s">
        <v>655</v>
      </c>
      <c r="K526" s="32" t="s">
        <v>834</v>
      </c>
      <c r="L526" s="22"/>
      <c r="M526" s="22"/>
      <c r="N526" s="22"/>
      <c r="O526" s="20" t="s">
        <v>15</v>
      </c>
      <c r="P526" s="25" t="s">
        <v>16</v>
      </c>
      <c r="Q526" s="16">
        <v>2958465</v>
      </c>
    </row>
    <row r="527" spans="1:17">
      <c r="A527" s="11">
        <f t="shared" si="8"/>
        <v>526</v>
      </c>
      <c r="B527" s="11">
        <v>8010072469</v>
      </c>
      <c r="C527" s="25" t="s">
        <v>1014</v>
      </c>
      <c r="D527" s="27">
        <v>3800</v>
      </c>
      <c r="E527" s="11">
        <v>0.43</v>
      </c>
      <c r="F527" s="11" t="s">
        <v>11</v>
      </c>
      <c r="G527" s="44">
        <v>1634</v>
      </c>
      <c r="H527" s="28">
        <v>1472.0720720720719</v>
      </c>
      <c r="I527" s="19" t="s">
        <v>654</v>
      </c>
      <c r="J527" s="19" t="s">
        <v>655</v>
      </c>
      <c r="K527" s="32" t="s">
        <v>834</v>
      </c>
      <c r="L527" s="22"/>
      <c r="M527" s="22"/>
      <c r="N527" s="22"/>
      <c r="O527" s="20" t="s">
        <v>15</v>
      </c>
      <c r="P527" s="25" t="s">
        <v>16</v>
      </c>
      <c r="Q527" s="16">
        <v>2958465</v>
      </c>
    </row>
    <row r="528" spans="1:17">
      <c r="A528" s="11">
        <f t="shared" si="8"/>
        <v>527</v>
      </c>
      <c r="B528" s="11">
        <v>8010072470</v>
      </c>
      <c r="C528" s="25" t="s">
        <v>1015</v>
      </c>
      <c r="D528" s="27">
        <v>5000</v>
      </c>
      <c r="E528" s="11">
        <v>0.43</v>
      </c>
      <c r="F528" s="11" t="s">
        <v>11</v>
      </c>
      <c r="G528" s="44">
        <v>2150</v>
      </c>
      <c r="H528" s="28">
        <v>1936.9369369369367</v>
      </c>
      <c r="I528" s="19" t="s">
        <v>654</v>
      </c>
      <c r="J528" s="19" t="s">
        <v>655</v>
      </c>
      <c r="K528" s="32" t="s">
        <v>834</v>
      </c>
      <c r="L528" s="22"/>
      <c r="M528" s="22"/>
      <c r="N528" s="22"/>
      <c r="O528" s="20" t="s">
        <v>15</v>
      </c>
      <c r="P528" s="25" t="s">
        <v>16</v>
      </c>
      <c r="Q528" s="16">
        <v>2958465</v>
      </c>
    </row>
    <row r="529" spans="1:17">
      <c r="A529" s="11">
        <f t="shared" si="8"/>
        <v>528</v>
      </c>
      <c r="B529" s="11">
        <v>8010072471</v>
      </c>
      <c r="C529" s="25" t="s">
        <v>1016</v>
      </c>
      <c r="D529" s="27">
        <v>6300</v>
      </c>
      <c r="E529" s="11">
        <v>0.43</v>
      </c>
      <c r="F529" s="11" t="s">
        <v>11</v>
      </c>
      <c r="G529" s="44">
        <v>2709</v>
      </c>
      <c r="H529" s="28">
        <v>2440.5405405405404</v>
      </c>
      <c r="I529" s="19" t="s">
        <v>654</v>
      </c>
      <c r="J529" s="19" t="s">
        <v>655</v>
      </c>
      <c r="K529" s="32" t="s">
        <v>834</v>
      </c>
      <c r="L529" s="22"/>
      <c r="M529" s="22"/>
      <c r="N529" s="22"/>
      <c r="O529" s="20" t="s">
        <v>15</v>
      </c>
      <c r="P529" s="25" t="s">
        <v>16</v>
      </c>
      <c r="Q529" s="16">
        <v>2958465</v>
      </c>
    </row>
    <row r="530" spans="1:17">
      <c r="A530" s="11">
        <f t="shared" si="8"/>
        <v>529</v>
      </c>
      <c r="B530" s="11">
        <v>8010072472</v>
      </c>
      <c r="C530" s="25" t="s">
        <v>1017</v>
      </c>
      <c r="D530" s="27">
        <v>4400</v>
      </c>
      <c r="E530" s="11">
        <v>0.43</v>
      </c>
      <c r="F530" s="11" t="s">
        <v>11</v>
      </c>
      <c r="G530" s="44">
        <v>1892</v>
      </c>
      <c r="H530" s="28">
        <v>1704.5045045045044</v>
      </c>
      <c r="I530" s="19" t="s">
        <v>654</v>
      </c>
      <c r="J530" s="19" t="s">
        <v>655</v>
      </c>
      <c r="K530" s="32" t="s">
        <v>834</v>
      </c>
      <c r="L530" s="22"/>
      <c r="M530" s="22"/>
      <c r="N530" s="22"/>
      <c r="O530" s="20" t="s">
        <v>15</v>
      </c>
      <c r="P530" s="25" t="s">
        <v>16</v>
      </c>
      <c r="Q530" s="16">
        <v>2958465</v>
      </c>
    </row>
    <row r="531" spans="1:17">
      <c r="A531" s="11">
        <f t="shared" si="8"/>
        <v>530</v>
      </c>
      <c r="B531" s="11">
        <v>8010072473</v>
      </c>
      <c r="C531" s="25" t="s">
        <v>1018</v>
      </c>
      <c r="D531" s="27">
        <v>6200</v>
      </c>
      <c r="E531" s="11">
        <v>0.43</v>
      </c>
      <c r="F531" s="11" t="s">
        <v>11</v>
      </c>
      <c r="G531" s="44">
        <v>2666</v>
      </c>
      <c r="H531" s="28">
        <v>2401.8018018018015</v>
      </c>
      <c r="I531" s="19" t="s">
        <v>654</v>
      </c>
      <c r="J531" s="19" t="s">
        <v>655</v>
      </c>
      <c r="K531" s="32" t="s">
        <v>834</v>
      </c>
      <c r="L531" s="22"/>
      <c r="M531" s="22"/>
      <c r="N531" s="22"/>
      <c r="O531" s="20" t="s">
        <v>15</v>
      </c>
      <c r="P531" s="25" t="s">
        <v>16</v>
      </c>
      <c r="Q531" s="16">
        <v>2958465</v>
      </c>
    </row>
    <row r="532" spans="1:17">
      <c r="A532" s="11">
        <f t="shared" si="8"/>
        <v>531</v>
      </c>
      <c r="B532" s="11">
        <v>8010072474</v>
      </c>
      <c r="C532" s="25" t="s">
        <v>1019</v>
      </c>
      <c r="D532" s="27">
        <v>7500</v>
      </c>
      <c r="E532" s="11">
        <v>0.43</v>
      </c>
      <c r="F532" s="11" t="s">
        <v>11</v>
      </c>
      <c r="G532" s="44">
        <v>3225</v>
      </c>
      <c r="H532" s="28">
        <v>2905.405405405405</v>
      </c>
      <c r="I532" s="19" t="s">
        <v>654</v>
      </c>
      <c r="J532" s="19" t="s">
        <v>655</v>
      </c>
      <c r="K532" s="32" t="s">
        <v>834</v>
      </c>
      <c r="L532" s="22"/>
      <c r="M532" s="22"/>
      <c r="N532" s="22"/>
      <c r="O532" s="20" t="s">
        <v>15</v>
      </c>
      <c r="P532" s="25" t="s">
        <v>16</v>
      </c>
      <c r="Q532" s="16">
        <v>2958465</v>
      </c>
    </row>
    <row r="533" spans="1:17">
      <c r="A533" s="11">
        <f t="shared" si="8"/>
        <v>532</v>
      </c>
      <c r="B533" s="11">
        <v>8010072475</v>
      </c>
      <c r="C533" s="25" t="s">
        <v>1020</v>
      </c>
      <c r="D533" s="27">
        <v>4400</v>
      </c>
      <c r="E533" s="11">
        <v>0.43</v>
      </c>
      <c r="F533" s="11" t="s">
        <v>11</v>
      </c>
      <c r="G533" s="44">
        <v>1892</v>
      </c>
      <c r="H533" s="28">
        <v>1704.5045045045044</v>
      </c>
      <c r="I533" s="19" t="s">
        <v>654</v>
      </c>
      <c r="J533" s="19" t="s">
        <v>655</v>
      </c>
      <c r="K533" s="32" t="s">
        <v>834</v>
      </c>
      <c r="L533" s="22"/>
      <c r="M533" s="22"/>
      <c r="N533" s="22"/>
      <c r="O533" s="20" t="s">
        <v>15</v>
      </c>
      <c r="P533" s="25" t="s">
        <v>16</v>
      </c>
      <c r="Q533" s="16">
        <v>2958465</v>
      </c>
    </row>
    <row r="534" spans="1:17">
      <c r="A534" s="11">
        <f t="shared" si="8"/>
        <v>533</v>
      </c>
      <c r="B534" s="11">
        <v>8010072476</v>
      </c>
      <c r="C534" s="25" t="s">
        <v>1021</v>
      </c>
      <c r="D534" s="27">
        <v>5000</v>
      </c>
      <c r="E534" s="11">
        <v>0.43</v>
      </c>
      <c r="F534" s="11" t="s">
        <v>11</v>
      </c>
      <c r="G534" s="44">
        <v>2150</v>
      </c>
      <c r="H534" s="28">
        <v>1936.9369369369367</v>
      </c>
      <c r="I534" s="19" t="s">
        <v>654</v>
      </c>
      <c r="J534" s="19" t="s">
        <v>655</v>
      </c>
      <c r="K534" s="32" t="s">
        <v>834</v>
      </c>
      <c r="L534" s="22"/>
      <c r="M534" s="22"/>
      <c r="N534" s="22"/>
      <c r="O534" s="20" t="s">
        <v>15</v>
      </c>
      <c r="P534" s="25" t="s">
        <v>16</v>
      </c>
      <c r="Q534" s="16">
        <v>2958465</v>
      </c>
    </row>
    <row r="535" spans="1:17">
      <c r="A535" s="11">
        <f t="shared" si="8"/>
        <v>534</v>
      </c>
      <c r="B535" s="11">
        <v>8010072477</v>
      </c>
      <c r="C535" s="25" t="s">
        <v>1022</v>
      </c>
      <c r="D535" s="27">
        <v>5200</v>
      </c>
      <c r="E535" s="11">
        <v>0.43</v>
      </c>
      <c r="F535" s="11" t="s">
        <v>11</v>
      </c>
      <c r="G535" s="44">
        <v>2236</v>
      </c>
      <c r="H535" s="28">
        <v>2014.4144144144143</v>
      </c>
      <c r="I535" s="19" t="s">
        <v>654</v>
      </c>
      <c r="J535" s="19" t="s">
        <v>655</v>
      </c>
      <c r="K535" s="32" t="s">
        <v>834</v>
      </c>
      <c r="L535" s="22"/>
      <c r="M535" s="22"/>
      <c r="N535" s="22"/>
      <c r="O535" s="20" t="s">
        <v>15</v>
      </c>
      <c r="P535" s="25" t="s">
        <v>16</v>
      </c>
      <c r="Q535" s="16">
        <v>2958465</v>
      </c>
    </row>
    <row r="536" spans="1:17">
      <c r="A536" s="11">
        <f t="shared" si="8"/>
        <v>535</v>
      </c>
      <c r="B536" s="11">
        <v>8010072478</v>
      </c>
      <c r="C536" s="25" t="s">
        <v>1023</v>
      </c>
      <c r="D536" s="27">
        <v>8300</v>
      </c>
      <c r="E536" s="11">
        <v>0.43</v>
      </c>
      <c r="F536" s="11" t="s">
        <v>11</v>
      </c>
      <c r="G536" s="44">
        <v>3569</v>
      </c>
      <c r="H536" s="28">
        <v>3215.3153153153148</v>
      </c>
      <c r="I536" s="19" t="s">
        <v>654</v>
      </c>
      <c r="J536" s="19" t="s">
        <v>655</v>
      </c>
      <c r="K536" s="32" t="s">
        <v>834</v>
      </c>
      <c r="L536" s="22"/>
      <c r="M536" s="22"/>
      <c r="N536" s="22"/>
      <c r="O536" s="20" t="s">
        <v>15</v>
      </c>
      <c r="P536" s="25" t="s">
        <v>16</v>
      </c>
      <c r="Q536" s="16">
        <v>2958465</v>
      </c>
    </row>
    <row r="537" spans="1:17">
      <c r="A537" s="11">
        <f t="shared" si="8"/>
        <v>536</v>
      </c>
      <c r="B537" s="11">
        <v>8010072479</v>
      </c>
      <c r="C537" s="25" t="s">
        <v>1024</v>
      </c>
      <c r="D537" s="27">
        <v>16000</v>
      </c>
      <c r="E537" s="11">
        <v>0.43</v>
      </c>
      <c r="F537" s="11" t="s">
        <v>11</v>
      </c>
      <c r="G537" s="44">
        <v>6880</v>
      </c>
      <c r="H537" s="28">
        <v>6198.198198198198</v>
      </c>
      <c r="I537" s="19" t="s">
        <v>654</v>
      </c>
      <c r="J537" s="19" t="s">
        <v>655</v>
      </c>
      <c r="K537" s="32" t="s">
        <v>834</v>
      </c>
      <c r="L537" s="22"/>
      <c r="M537" s="22"/>
      <c r="N537" s="22"/>
      <c r="O537" s="20" t="s">
        <v>15</v>
      </c>
      <c r="P537" s="25" t="s">
        <v>16</v>
      </c>
      <c r="Q537" s="16">
        <v>2958465</v>
      </c>
    </row>
    <row r="538" spans="1:17">
      <c r="A538" s="11">
        <f t="shared" si="8"/>
        <v>537</v>
      </c>
      <c r="B538" s="11">
        <v>8010072480</v>
      </c>
      <c r="C538" s="25" t="s">
        <v>768</v>
      </c>
      <c r="D538" s="27">
        <v>41900</v>
      </c>
      <c r="E538" s="11">
        <v>0.51</v>
      </c>
      <c r="F538" s="11" t="s">
        <v>11</v>
      </c>
      <c r="G538" s="44">
        <v>21369</v>
      </c>
      <c r="H538" s="28">
        <v>19251.35135135135</v>
      </c>
      <c r="I538" s="19" t="s">
        <v>654</v>
      </c>
      <c r="J538" s="19" t="s">
        <v>655</v>
      </c>
      <c r="K538" s="32" t="s">
        <v>656</v>
      </c>
      <c r="L538" s="22"/>
      <c r="M538" s="22"/>
      <c r="N538" s="22"/>
      <c r="O538" s="20" t="s">
        <v>15</v>
      </c>
      <c r="P538" s="25" t="s">
        <v>16</v>
      </c>
      <c r="Q538" s="16">
        <v>2958465</v>
      </c>
    </row>
    <row r="539" spans="1:17">
      <c r="A539" s="11">
        <f t="shared" si="8"/>
        <v>538</v>
      </c>
      <c r="B539" s="11">
        <v>8010072481</v>
      </c>
      <c r="C539" s="25" t="s">
        <v>736</v>
      </c>
      <c r="D539" s="27">
        <v>71300</v>
      </c>
      <c r="E539" s="11">
        <v>0.51</v>
      </c>
      <c r="F539" s="11" t="s">
        <v>11</v>
      </c>
      <c r="G539" s="44">
        <v>36363</v>
      </c>
      <c r="H539" s="28">
        <v>32759.459459459456</v>
      </c>
      <c r="I539" s="19" t="s">
        <v>654</v>
      </c>
      <c r="J539" s="19" t="s">
        <v>655</v>
      </c>
      <c r="K539" s="32" t="s">
        <v>656</v>
      </c>
      <c r="L539" s="22"/>
      <c r="M539" s="22"/>
      <c r="N539" s="22"/>
      <c r="O539" s="20" t="s">
        <v>15</v>
      </c>
      <c r="P539" s="25" t="s">
        <v>16</v>
      </c>
      <c r="Q539" s="16">
        <v>2958465</v>
      </c>
    </row>
    <row r="540" spans="1:17">
      <c r="A540" s="11">
        <f t="shared" si="8"/>
        <v>539</v>
      </c>
      <c r="B540" s="11">
        <v>8010072482</v>
      </c>
      <c r="C540" s="25" t="s">
        <v>702</v>
      </c>
      <c r="D540" s="27">
        <v>62000</v>
      </c>
      <c r="E540" s="11">
        <v>0.51</v>
      </c>
      <c r="F540" s="11" t="s">
        <v>11</v>
      </c>
      <c r="G540" s="44">
        <v>31620</v>
      </c>
      <c r="H540" s="28">
        <v>28486.486486486483</v>
      </c>
      <c r="I540" s="19" t="s">
        <v>654</v>
      </c>
      <c r="J540" s="19" t="s">
        <v>655</v>
      </c>
      <c r="K540" s="32" t="s">
        <v>656</v>
      </c>
      <c r="L540" s="22"/>
      <c r="M540" s="22"/>
      <c r="N540" s="22"/>
      <c r="O540" s="20" t="s">
        <v>15</v>
      </c>
      <c r="P540" s="25" t="s">
        <v>16</v>
      </c>
      <c r="Q540" s="16">
        <v>2958465</v>
      </c>
    </row>
    <row r="541" spans="1:17">
      <c r="A541" s="11">
        <f t="shared" si="8"/>
        <v>540</v>
      </c>
      <c r="B541" s="11">
        <v>8010072483</v>
      </c>
      <c r="C541" s="25" t="s">
        <v>703</v>
      </c>
      <c r="D541" s="27">
        <v>27400</v>
      </c>
      <c r="E541" s="11">
        <v>0.51</v>
      </c>
      <c r="F541" s="11" t="s">
        <v>11</v>
      </c>
      <c r="G541" s="44">
        <v>13974</v>
      </c>
      <c r="H541" s="28">
        <v>12589.189189189188</v>
      </c>
      <c r="I541" s="19" t="s">
        <v>654</v>
      </c>
      <c r="J541" s="19" t="s">
        <v>655</v>
      </c>
      <c r="K541" s="32" t="s">
        <v>656</v>
      </c>
      <c r="L541" s="22"/>
      <c r="M541" s="22"/>
      <c r="N541" s="22"/>
      <c r="O541" s="20" t="s">
        <v>15</v>
      </c>
      <c r="P541" s="25" t="s">
        <v>16</v>
      </c>
      <c r="Q541" s="16">
        <v>2958465</v>
      </c>
    </row>
    <row r="542" spans="1:17">
      <c r="A542" s="11">
        <f t="shared" si="8"/>
        <v>541</v>
      </c>
      <c r="B542" s="11">
        <v>8010072484</v>
      </c>
      <c r="C542" s="25" t="s">
        <v>704</v>
      </c>
      <c r="D542" s="27">
        <v>24400</v>
      </c>
      <c r="E542" s="11">
        <v>0.51</v>
      </c>
      <c r="F542" s="11" t="s">
        <v>11</v>
      </c>
      <c r="G542" s="44">
        <v>12444</v>
      </c>
      <c r="H542" s="28">
        <v>11210.81081081081</v>
      </c>
      <c r="I542" s="19" t="s">
        <v>654</v>
      </c>
      <c r="J542" s="19" t="s">
        <v>655</v>
      </c>
      <c r="K542" s="32" t="s">
        <v>656</v>
      </c>
      <c r="L542" s="22"/>
      <c r="M542" s="22"/>
      <c r="N542" s="22"/>
      <c r="O542" s="20" t="s">
        <v>15</v>
      </c>
      <c r="P542" s="25" t="s">
        <v>16</v>
      </c>
      <c r="Q542" s="16">
        <v>2958465</v>
      </c>
    </row>
    <row r="543" spans="1:17">
      <c r="A543" s="11">
        <f t="shared" si="8"/>
        <v>542</v>
      </c>
      <c r="B543" s="11">
        <v>8010072485</v>
      </c>
      <c r="C543" s="25" t="s">
        <v>705</v>
      </c>
      <c r="D543" s="27">
        <v>18600</v>
      </c>
      <c r="E543" s="11">
        <v>0.51</v>
      </c>
      <c r="F543" s="11" t="s">
        <v>11</v>
      </c>
      <c r="G543" s="44">
        <v>9486</v>
      </c>
      <c r="H543" s="28">
        <v>8545.9459459459449</v>
      </c>
      <c r="I543" s="19" t="s">
        <v>654</v>
      </c>
      <c r="J543" s="19" t="s">
        <v>655</v>
      </c>
      <c r="K543" s="32" t="s">
        <v>656</v>
      </c>
      <c r="L543" s="22"/>
      <c r="M543" s="22"/>
      <c r="N543" s="22"/>
      <c r="O543" s="20" t="s">
        <v>15</v>
      </c>
      <c r="P543" s="25" t="s">
        <v>16</v>
      </c>
      <c r="Q543" s="16">
        <v>2958465</v>
      </c>
    </row>
    <row r="544" spans="1:17">
      <c r="A544" s="11">
        <f t="shared" si="8"/>
        <v>543</v>
      </c>
      <c r="B544" s="11">
        <v>8010072486</v>
      </c>
      <c r="C544" s="25" t="s">
        <v>955</v>
      </c>
      <c r="D544" s="27">
        <v>1300</v>
      </c>
      <c r="E544" s="11">
        <v>0.43</v>
      </c>
      <c r="F544" s="11" t="s">
        <v>11</v>
      </c>
      <c r="G544" s="44">
        <v>559</v>
      </c>
      <c r="H544" s="28">
        <v>503.60360360360357</v>
      </c>
      <c r="I544" s="19" t="s">
        <v>654</v>
      </c>
      <c r="J544" s="19" t="s">
        <v>655</v>
      </c>
      <c r="K544" s="32" t="s">
        <v>834</v>
      </c>
      <c r="L544" s="22"/>
      <c r="M544" s="22"/>
      <c r="N544" s="22"/>
      <c r="O544" s="20" t="s">
        <v>15</v>
      </c>
      <c r="P544" s="25" t="s">
        <v>16</v>
      </c>
      <c r="Q544" s="16">
        <v>2958465</v>
      </c>
    </row>
    <row r="545" spans="1:17">
      <c r="A545" s="11">
        <f t="shared" si="8"/>
        <v>544</v>
      </c>
      <c r="B545" s="11">
        <v>8010072487</v>
      </c>
      <c r="C545" s="25" t="s">
        <v>956</v>
      </c>
      <c r="D545" s="27">
        <v>1900</v>
      </c>
      <c r="E545" s="11">
        <v>0.43</v>
      </c>
      <c r="F545" s="11" t="s">
        <v>11</v>
      </c>
      <c r="G545" s="44">
        <v>817</v>
      </c>
      <c r="H545" s="28">
        <v>736.03603603603597</v>
      </c>
      <c r="I545" s="19" t="s">
        <v>654</v>
      </c>
      <c r="J545" s="19" t="s">
        <v>655</v>
      </c>
      <c r="K545" s="32" t="s">
        <v>834</v>
      </c>
      <c r="L545" s="22"/>
      <c r="M545" s="22"/>
      <c r="N545" s="22"/>
      <c r="O545" s="20" t="s">
        <v>15</v>
      </c>
      <c r="P545" s="25" t="s">
        <v>16</v>
      </c>
      <c r="Q545" s="16">
        <v>2958465</v>
      </c>
    </row>
    <row r="546" spans="1:17">
      <c r="A546" s="11">
        <f t="shared" si="8"/>
        <v>545</v>
      </c>
      <c r="B546" s="11">
        <v>8010072488</v>
      </c>
      <c r="C546" s="25" t="s">
        <v>957</v>
      </c>
      <c r="D546" s="27">
        <v>3200</v>
      </c>
      <c r="E546" s="11">
        <v>0.43</v>
      </c>
      <c r="F546" s="11" t="s">
        <v>11</v>
      </c>
      <c r="G546" s="44">
        <v>1376</v>
      </c>
      <c r="H546" s="28">
        <v>1239.6396396396394</v>
      </c>
      <c r="I546" s="19" t="s">
        <v>654</v>
      </c>
      <c r="J546" s="19" t="s">
        <v>655</v>
      </c>
      <c r="K546" s="32" t="s">
        <v>834</v>
      </c>
      <c r="L546" s="22"/>
      <c r="M546" s="22"/>
      <c r="N546" s="22"/>
      <c r="O546" s="20" t="s">
        <v>15</v>
      </c>
      <c r="P546" s="25" t="s">
        <v>16</v>
      </c>
      <c r="Q546" s="16">
        <v>2958465</v>
      </c>
    </row>
    <row r="547" spans="1:17">
      <c r="A547" s="11">
        <f t="shared" si="8"/>
        <v>546</v>
      </c>
      <c r="B547" s="11">
        <v>8010072489</v>
      </c>
      <c r="C547" s="25" t="s">
        <v>958</v>
      </c>
      <c r="D547" s="27">
        <v>11900</v>
      </c>
      <c r="E547" s="11">
        <v>0.43</v>
      </c>
      <c r="F547" s="11" t="s">
        <v>11</v>
      </c>
      <c r="G547" s="44">
        <v>5117</v>
      </c>
      <c r="H547" s="28">
        <v>4609.9099099099094</v>
      </c>
      <c r="I547" s="19" t="s">
        <v>654</v>
      </c>
      <c r="J547" s="19" t="s">
        <v>655</v>
      </c>
      <c r="K547" s="32" t="s">
        <v>834</v>
      </c>
      <c r="L547" s="22"/>
      <c r="M547" s="22"/>
      <c r="N547" s="22"/>
      <c r="O547" s="20" t="s">
        <v>15</v>
      </c>
      <c r="P547" s="25" t="s">
        <v>16</v>
      </c>
      <c r="Q547" s="16">
        <v>2958465</v>
      </c>
    </row>
    <row r="548" spans="1:17">
      <c r="A548" s="11">
        <f t="shared" si="8"/>
        <v>547</v>
      </c>
      <c r="B548" s="11">
        <v>8010072490</v>
      </c>
      <c r="C548" s="25" t="s">
        <v>959</v>
      </c>
      <c r="D548" s="27">
        <v>18100</v>
      </c>
      <c r="E548" s="11">
        <v>0.43</v>
      </c>
      <c r="F548" s="11" t="s">
        <v>11</v>
      </c>
      <c r="G548" s="44">
        <v>7783</v>
      </c>
      <c r="H548" s="28">
        <v>7011.7117117117114</v>
      </c>
      <c r="I548" s="19" t="s">
        <v>654</v>
      </c>
      <c r="J548" s="19" t="s">
        <v>655</v>
      </c>
      <c r="K548" s="32" t="s">
        <v>834</v>
      </c>
      <c r="L548" s="22"/>
      <c r="M548" s="22"/>
      <c r="N548" s="22"/>
      <c r="O548" s="20" t="s">
        <v>15</v>
      </c>
      <c r="P548" s="25" t="s">
        <v>16</v>
      </c>
      <c r="Q548" s="16">
        <v>2958465</v>
      </c>
    </row>
    <row r="549" spans="1:17">
      <c r="A549" s="11">
        <f t="shared" si="8"/>
        <v>548</v>
      </c>
      <c r="B549" s="11">
        <v>8010072491</v>
      </c>
      <c r="C549" s="25" t="s">
        <v>960</v>
      </c>
      <c r="D549" s="27">
        <v>9400</v>
      </c>
      <c r="E549" s="11">
        <v>0.43</v>
      </c>
      <c r="F549" s="11" t="s">
        <v>11</v>
      </c>
      <c r="G549" s="44">
        <v>4042</v>
      </c>
      <c r="H549" s="28">
        <v>3641.4414414414409</v>
      </c>
      <c r="I549" s="19" t="s">
        <v>654</v>
      </c>
      <c r="J549" s="19" t="s">
        <v>655</v>
      </c>
      <c r="K549" s="32" t="s">
        <v>834</v>
      </c>
      <c r="L549" s="22"/>
      <c r="M549" s="22"/>
      <c r="N549" s="22"/>
      <c r="O549" s="20" t="s">
        <v>15</v>
      </c>
      <c r="P549" s="25" t="s">
        <v>16</v>
      </c>
      <c r="Q549" s="16">
        <v>2958465</v>
      </c>
    </row>
    <row r="550" spans="1:17">
      <c r="A550" s="11">
        <f t="shared" si="8"/>
        <v>549</v>
      </c>
      <c r="B550" s="11">
        <v>8010072492</v>
      </c>
      <c r="C550" s="25" t="s">
        <v>961</v>
      </c>
      <c r="D550" s="27">
        <v>13100</v>
      </c>
      <c r="E550" s="11">
        <v>0.43</v>
      </c>
      <c r="F550" s="11" t="s">
        <v>11</v>
      </c>
      <c r="G550" s="44">
        <v>5633</v>
      </c>
      <c r="H550" s="28">
        <v>5074.7747747747744</v>
      </c>
      <c r="I550" s="19" t="s">
        <v>654</v>
      </c>
      <c r="J550" s="19" t="s">
        <v>655</v>
      </c>
      <c r="K550" s="32" t="s">
        <v>834</v>
      </c>
      <c r="L550" s="22"/>
      <c r="M550" s="22"/>
      <c r="N550" s="22"/>
      <c r="O550" s="20" t="s">
        <v>15</v>
      </c>
      <c r="P550" s="25" t="s">
        <v>16</v>
      </c>
      <c r="Q550" s="16">
        <v>2958465</v>
      </c>
    </row>
    <row r="551" spans="1:17">
      <c r="A551" s="11">
        <f t="shared" si="8"/>
        <v>550</v>
      </c>
      <c r="B551" s="11">
        <v>8010072493</v>
      </c>
      <c r="C551" s="25" t="s">
        <v>962</v>
      </c>
      <c r="D551" s="27">
        <v>21900</v>
      </c>
      <c r="E551" s="11">
        <v>0.43</v>
      </c>
      <c r="F551" s="11" t="s">
        <v>11</v>
      </c>
      <c r="G551" s="44">
        <v>9417</v>
      </c>
      <c r="H551" s="28">
        <v>8483.7837837837833</v>
      </c>
      <c r="I551" s="19" t="s">
        <v>654</v>
      </c>
      <c r="J551" s="19" t="s">
        <v>655</v>
      </c>
      <c r="K551" s="32" t="s">
        <v>834</v>
      </c>
      <c r="L551" s="22"/>
      <c r="M551" s="22"/>
      <c r="N551" s="22"/>
      <c r="O551" s="20" t="s">
        <v>15</v>
      </c>
      <c r="P551" s="25" t="s">
        <v>16</v>
      </c>
      <c r="Q551" s="16">
        <v>2958465</v>
      </c>
    </row>
    <row r="552" spans="1:17">
      <c r="A552" s="11">
        <f t="shared" si="8"/>
        <v>551</v>
      </c>
      <c r="B552" s="11">
        <v>8010072494</v>
      </c>
      <c r="C552" s="25" t="s">
        <v>963</v>
      </c>
      <c r="D552" s="27">
        <v>9500</v>
      </c>
      <c r="E552" s="11">
        <v>0.43</v>
      </c>
      <c r="F552" s="11" t="s">
        <v>11</v>
      </c>
      <c r="G552" s="44">
        <v>4085</v>
      </c>
      <c r="H552" s="28">
        <v>3680.1801801801798</v>
      </c>
      <c r="I552" s="19" t="s">
        <v>654</v>
      </c>
      <c r="J552" s="19" t="s">
        <v>655</v>
      </c>
      <c r="K552" s="32" t="s">
        <v>834</v>
      </c>
      <c r="L552" s="22"/>
      <c r="M552" s="22"/>
      <c r="N552" s="22"/>
      <c r="O552" s="20" t="s">
        <v>15</v>
      </c>
      <c r="P552" s="25" t="s">
        <v>16</v>
      </c>
      <c r="Q552" s="16">
        <v>2958465</v>
      </c>
    </row>
    <row r="553" spans="1:17">
      <c r="A553" s="11">
        <f t="shared" si="8"/>
        <v>552</v>
      </c>
      <c r="B553" s="11">
        <v>8010072495</v>
      </c>
      <c r="C553" s="25" t="s">
        <v>964</v>
      </c>
      <c r="D553" s="27">
        <v>14900</v>
      </c>
      <c r="E553" s="11">
        <v>0.43</v>
      </c>
      <c r="F553" s="11" t="s">
        <v>11</v>
      </c>
      <c r="G553" s="44">
        <v>6407</v>
      </c>
      <c r="H553" s="28">
        <v>5772.0720720720719</v>
      </c>
      <c r="I553" s="19" t="s">
        <v>654</v>
      </c>
      <c r="J553" s="19" t="s">
        <v>655</v>
      </c>
      <c r="K553" s="32" t="s">
        <v>834</v>
      </c>
      <c r="L553" s="22"/>
      <c r="M553" s="22"/>
      <c r="N553" s="22"/>
      <c r="O553" s="20" t="s">
        <v>15</v>
      </c>
      <c r="P553" s="25" t="s">
        <v>16</v>
      </c>
      <c r="Q553" s="16">
        <v>2958465</v>
      </c>
    </row>
    <row r="554" spans="1:17">
      <c r="A554" s="11">
        <f t="shared" si="8"/>
        <v>553</v>
      </c>
      <c r="B554" s="11">
        <v>8010072496</v>
      </c>
      <c r="C554" s="25" t="s">
        <v>965</v>
      </c>
      <c r="D554" s="27">
        <v>26700</v>
      </c>
      <c r="E554" s="11">
        <v>0.43</v>
      </c>
      <c r="F554" s="11" t="s">
        <v>11</v>
      </c>
      <c r="G554" s="44">
        <v>11481</v>
      </c>
      <c r="H554" s="28">
        <v>10343.243243243242</v>
      </c>
      <c r="I554" s="19" t="s">
        <v>654</v>
      </c>
      <c r="J554" s="19" t="s">
        <v>655</v>
      </c>
      <c r="K554" s="32" t="s">
        <v>834</v>
      </c>
      <c r="L554" s="22"/>
      <c r="M554" s="22"/>
      <c r="N554" s="22"/>
      <c r="O554" s="20" t="s">
        <v>15</v>
      </c>
      <c r="P554" s="25" t="s">
        <v>16</v>
      </c>
      <c r="Q554" s="16">
        <v>2958465</v>
      </c>
    </row>
    <row r="555" spans="1:17">
      <c r="A555" s="11">
        <f t="shared" si="8"/>
        <v>554</v>
      </c>
      <c r="B555" s="11">
        <v>8010072497</v>
      </c>
      <c r="C555" s="25" t="s">
        <v>706</v>
      </c>
      <c r="D555" s="27">
        <v>36900</v>
      </c>
      <c r="E555" s="11">
        <v>0.51</v>
      </c>
      <c r="F555" s="11" t="s">
        <v>11</v>
      </c>
      <c r="G555" s="44">
        <v>18819</v>
      </c>
      <c r="H555" s="28">
        <v>16954.054054054053</v>
      </c>
      <c r="I555" s="19" t="s">
        <v>654</v>
      </c>
      <c r="J555" s="19" t="s">
        <v>655</v>
      </c>
      <c r="K555" s="32" t="s">
        <v>656</v>
      </c>
      <c r="L555" s="22"/>
      <c r="M555" s="22"/>
      <c r="N555" s="22"/>
      <c r="O555" s="20" t="s">
        <v>15</v>
      </c>
      <c r="P555" s="25" t="s">
        <v>16</v>
      </c>
      <c r="Q555" s="16">
        <v>2958465</v>
      </c>
    </row>
    <row r="556" spans="1:17">
      <c r="A556" s="11">
        <f t="shared" si="8"/>
        <v>555</v>
      </c>
      <c r="B556" s="11">
        <v>8010072498</v>
      </c>
      <c r="C556" s="25" t="s">
        <v>707</v>
      </c>
      <c r="D556" s="27">
        <v>45700</v>
      </c>
      <c r="E556" s="11">
        <v>0.51</v>
      </c>
      <c r="F556" s="11" t="s">
        <v>11</v>
      </c>
      <c r="G556" s="44">
        <v>23307</v>
      </c>
      <c r="H556" s="28">
        <v>20997.297297297297</v>
      </c>
      <c r="I556" s="19" t="s">
        <v>654</v>
      </c>
      <c r="J556" s="19" t="s">
        <v>655</v>
      </c>
      <c r="K556" s="32" t="s">
        <v>656</v>
      </c>
      <c r="L556" s="22"/>
      <c r="M556" s="22"/>
      <c r="N556" s="22"/>
      <c r="O556" s="20" t="s">
        <v>15</v>
      </c>
      <c r="P556" s="25" t="s">
        <v>16</v>
      </c>
      <c r="Q556" s="16">
        <v>2958465</v>
      </c>
    </row>
    <row r="557" spans="1:17">
      <c r="A557" s="11">
        <f t="shared" si="8"/>
        <v>556</v>
      </c>
      <c r="B557" s="11">
        <v>8010072499</v>
      </c>
      <c r="C557" s="25" t="s">
        <v>708</v>
      </c>
      <c r="D557" s="27">
        <v>61900</v>
      </c>
      <c r="E557" s="11">
        <v>0.51</v>
      </c>
      <c r="F557" s="11" t="s">
        <v>11</v>
      </c>
      <c r="G557" s="44">
        <v>31569</v>
      </c>
      <c r="H557" s="28">
        <v>28440.540540540536</v>
      </c>
      <c r="I557" s="19" t="s">
        <v>654</v>
      </c>
      <c r="J557" s="19" t="s">
        <v>655</v>
      </c>
      <c r="K557" s="32" t="s">
        <v>656</v>
      </c>
      <c r="L557" s="22"/>
      <c r="M557" s="22"/>
      <c r="N557" s="22"/>
      <c r="O557" s="20" t="s">
        <v>15</v>
      </c>
      <c r="P557" s="25" t="s">
        <v>16</v>
      </c>
      <c r="Q557" s="16">
        <v>2958465</v>
      </c>
    </row>
    <row r="558" spans="1:17">
      <c r="A558" s="11">
        <f t="shared" si="8"/>
        <v>557</v>
      </c>
      <c r="B558" s="11">
        <v>8010072500</v>
      </c>
      <c r="C558" s="25" t="s">
        <v>709</v>
      </c>
      <c r="D558" s="27">
        <v>55700</v>
      </c>
      <c r="E558" s="11">
        <v>0.51</v>
      </c>
      <c r="F558" s="11" t="s">
        <v>11</v>
      </c>
      <c r="G558" s="44">
        <v>28407</v>
      </c>
      <c r="H558" s="28">
        <v>25591.89189189189</v>
      </c>
      <c r="I558" s="19" t="s">
        <v>654</v>
      </c>
      <c r="J558" s="19" t="s">
        <v>655</v>
      </c>
      <c r="K558" s="32" t="s">
        <v>656</v>
      </c>
      <c r="L558" s="22"/>
      <c r="M558" s="22"/>
      <c r="N558" s="22"/>
      <c r="O558" s="20" t="s">
        <v>15</v>
      </c>
      <c r="P558" s="25" t="s">
        <v>16</v>
      </c>
      <c r="Q558" s="16">
        <v>2958465</v>
      </c>
    </row>
    <row r="559" spans="1:17">
      <c r="A559" s="11">
        <f t="shared" si="8"/>
        <v>558</v>
      </c>
      <c r="B559" s="11">
        <v>8010072501</v>
      </c>
      <c r="C559" s="25" t="s">
        <v>710</v>
      </c>
      <c r="D559" s="27">
        <v>48200</v>
      </c>
      <c r="E559" s="11">
        <v>0.51</v>
      </c>
      <c r="F559" s="11" t="s">
        <v>11</v>
      </c>
      <c r="G559" s="44">
        <v>24582</v>
      </c>
      <c r="H559" s="28">
        <v>22145.945945945943</v>
      </c>
      <c r="I559" s="19" t="s">
        <v>654</v>
      </c>
      <c r="J559" s="19" t="s">
        <v>655</v>
      </c>
      <c r="K559" s="32" t="s">
        <v>656</v>
      </c>
      <c r="L559" s="22"/>
      <c r="M559" s="22"/>
      <c r="N559" s="22"/>
      <c r="O559" s="20" t="s">
        <v>15</v>
      </c>
      <c r="P559" s="25" t="s">
        <v>16</v>
      </c>
      <c r="Q559" s="16">
        <v>2958465</v>
      </c>
    </row>
    <row r="560" spans="1:17">
      <c r="A560" s="11">
        <f t="shared" si="8"/>
        <v>559</v>
      </c>
      <c r="B560" s="11">
        <v>8010072502</v>
      </c>
      <c r="C560" s="25" t="s">
        <v>711</v>
      </c>
      <c r="D560" s="27">
        <v>60700</v>
      </c>
      <c r="E560" s="11">
        <v>0.51</v>
      </c>
      <c r="F560" s="11" t="s">
        <v>11</v>
      </c>
      <c r="G560" s="44">
        <v>30957</v>
      </c>
      <c r="H560" s="28">
        <v>27889.189189189186</v>
      </c>
      <c r="I560" s="19" t="s">
        <v>654</v>
      </c>
      <c r="J560" s="19" t="s">
        <v>655</v>
      </c>
      <c r="K560" s="32" t="s">
        <v>656</v>
      </c>
      <c r="L560" s="22"/>
      <c r="M560" s="22"/>
      <c r="N560" s="22"/>
      <c r="O560" s="20" t="s">
        <v>15</v>
      </c>
      <c r="P560" s="25" t="s">
        <v>16</v>
      </c>
      <c r="Q560" s="16">
        <v>2958465</v>
      </c>
    </row>
    <row r="561" spans="1:17">
      <c r="A561" s="11">
        <f t="shared" si="8"/>
        <v>560</v>
      </c>
      <c r="B561" s="11">
        <v>8010072503</v>
      </c>
      <c r="C561" s="25" t="s">
        <v>712</v>
      </c>
      <c r="D561" s="27">
        <v>48800</v>
      </c>
      <c r="E561" s="11">
        <v>0.51</v>
      </c>
      <c r="F561" s="11" t="s">
        <v>11</v>
      </c>
      <c r="G561" s="44">
        <v>24888</v>
      </c>
      <c r="H561" s="28">
        <v>22421.62162162162</v>
      </c>
      <c r="I561" s="19" t="s">
        <v>654</v>
      </c>
      <c r="J561" s="19" t="s">
        <v>655</v>
      </c>
      <c r="K561" s="32" t="s">
        <v>656</v>
      </c>
      <c r="L561" s="22"/>
      <c r="M561" s="22"/>
      <c r="N561" s="22"/>
      <c r="O561" s="20" t="s">
        <v>15</v>
      </c>
      <c r="P561" s="25" t="s">
        <v>16</v>
      </c>
      <c r="Q561" s="16">
        <v>2958465</v>
      </c>
    </row>
    <row r="562" spans="1:17">
      <c r="A562" s="11">
        <f t="shared" si="8"/>
        <v>561</v>
      </c>
      <c r="B562" s="11">
        <v>8010072504</v>
      </c>
      <c r="C562" s="25" t="s">
        <v>701</v>
      </c>
      <c r="D562" s="27">
        <v>61300</v>
      </c>
      <c r="E562" s="11">
        <v>0.51</v>
      </c>
      <c r="F562" s="11" t="s">
        <v>11</v>
      </c>
      <c r="G562" s="44">
        <v>31263</v>
      </c>
      <c r="H562" s="28">
        <v>28164.864864864863</v>
      </c>
      <c r="I562" s="19" t="s">
        <v>654</v>
      </c>
      <c r="J562" s="19" t="s">
        <v>655</v>
      </c>
      <c r="K562" s="32" t="s">
        <v>656</v>
      </c>
      <c r="L562" s="22"/>
      <c r="M562" s="22"/>
      <c r="N562" s="22"/>
      <c r="O562" s="20" t="s">
        <v>15</v>
      </c>
      <c r="P562" s="25" t="s">
        <v>16</v>
      </c>
      <c r="Q562" s="16">
        <v>2958465</v>
      </c>
    </row>
    <row r="563" spans="1:17">
      <c r="A563" s="11">
        <f t="shared" si="8"/>
        <v>562</v>
      </c>
      <c r="B563" s="11">
        <v>8010072505</v>
      </c>
      <c r="C563" s="25" t="s">
        <v>697</v>
      </c>
      <c r="D563" s="27">
        <v>49400</v>
      </c>
      <c r="E563" s="11">
        <v>0.51</v>
      </c>
      <c r="F563" s="11" t="s">
        <v>11</v>
      </c>
      <c r="G563" s="44">
        <v>25194</v>
      </c>
      <c r="H563" s="28">
        <v>22697.297297297297</v>
      </c>
      <c r="I563" s="19" t="s">
        <v>654</v>
      </c>
      <c r="J563" s="19" t="s">
        <v>655</v>
      </c>
      <c r="K563" s="32" t="s">
        <v>656</v>
      </c>
      <c r="L563" s="22"/>
      <c r="M563" s="22"/>
      <c r="N563" s="22"/>
      <c r="O563" s="20" t="s">
        <v>15</v>
      </c>
      <c r="P563" s="25" t="s">
        <v>16</v>
      </c>
      <c r="Q563" s="16">
        <v>2958465</v>
      </c>
    </row>
    <row r="564" spans="1:17">
      <c r="A564" s="11">
        <f t="shared" si="8"/>
        <v>563</v>
      </c>
      <c r="B564" s="11">
        <v>8010072506</v>
      </c>
      <c r="C564" s="25" t="s">
        <v>696</v>
      </c>
      <c r="D564" s="27">
        <v>62600</v>
      </c>
      <c r="E564" s="11">
        <v>0.51</v>
      </c>
      <c r="F564" s="11" t="s">
        <v>11</v>
      </c>
      <c r="G564" s="44">
        <v>31926</v>
      </c>
      <c r="H564" s="28">
        <v>28762.16216216216</v>
      </c>
      <c r="I564" s="19" t="s">
        <v>654</v>
      </c>
      <c r="J564" s="19" t="s">
        <v>655</v>
      </c>
      <c r="K564" s="32" t="s">
        <v>656</v>
      </c>
      <c r="L564" s="22"/>
      <c r="M564" s="22"/>
      <c r="N564" s="22"/>
      <c r="O564" s="20" t="s">
        <v>15</v>
      </c>
      <c r="P564" s="25" t="s">
        <v>16</v>
      </c>
      <c r="Q564" s="16">
        <v>2958465</v>
      </c>
    </row>
    <row r="565" spans="1:17">
      <c r="A565" s="11">
        <f t="shared" si="8"/>
        <v>564</v>
      </c>
      <c r="B565" s="11">
        <v>8010072507</v>
      </c>
      <c r="C565" s="25" t="s">
        <v>695</v>
      </c>
      <c r="D565" s="27">
        <v>99500</v>
      </c>
      <c r="E565" s="11">
        <v>0.51</v>
      </c>
      <c r="F565" s="11" t="s">
        <v>11</v>
      </c>
      <c r="G565" s="44">
        <v>50745</v>
      </c>
      <c r="H565" s="28">
        <v>45716.216216216213</v>
      </c>
      <c r="I565" s="19" t="s">
        <v>654</v>
      </c>
      <c r="J565" s="19" t="s">
        <v>655</v>
      </c>
      <c r="K565" s="32" t="s">
        <v>656</v>
      </c>
      <c r="L565" s="22"/>
      <c r="M565" s="22"/>
      <c r="N565" s="22"/>
      <c r="O565" s="20" t="s">
        <v>15</v>
      </c>
      <c r="P565" s="25" t="s">
        <v>16</v>
      </c>
      <c r="Q565" s="16">
        <v>2958465</v>
      </c>
    </row>
    <row r="566" spans="1:17">
      <c r="A566" s="11">
        <f t="shared" si="8"/>
        <v>565</v>
      </c>
      <c r="B566" s="11">
        <v>8010072508</v>
      </c>
      <c r="C566" s="25" t="s">
        <v>694</v>
      </c>
      <c r="D566" s="27">
        <v>55700</v>
      </c>
      <c r="E566" s="11">
        <v>0.51</v>
      </c>
      <c r="F566" s="11" t="s">
        <v>11</v>
      </c>
      <c r="G566" s="44">
        <v>28407</v>
      </c>
      <c r="H566" s="28">
        <v>25591.89189189189</v>
      </c>
      <c r="I566" s="19" t="s">
        <v>654</v>
      </c>
      <c r="J566" s="19" t="s">
        <v>655</v>
      </c>
      <c r="K566" s="32" t="s">
        <v>656</v>
      </c>
      <c r="L566" s="22"/>
      <c r="M566" s="22"/>
      <c r="N566" s="22"/>
      <c r="O566" s="20" t="s">
        <v>15</v>
      </c>
      <c r="P566" s="25" t="s">
        <v>16</v>
      </c>
      <c r="Q566" s="16">
        <v>2958465</v>
      </c>
    </row>
    <row r="567" spans="1:17">
      <c r="A567" s="11">
        <f t="shared" si="8"/>
        <v>566</v>
      </c>
      <c r="B567" s="11">
        <v>8010072509</v>
      </c>
      <c r="C567" s="25" t="s">
        <v>693</v>
      </c>
      <c r="D567" s="27">
        <v>71300</v>
      </c>
      <c r="E567" s="11">
        <v>0.51</v>
      </c>
      <c r="F567" s="11" t="s">
        <v>11</v>
      </c>
      <c r="G567" s="44">
        <v>36363</v>
      </c>
      <c r="H567" s="28">
        <v>32759.459459459456</v>
      </c>
      <c r="I567" s="19" t="s">
        <v>654</v>
      </c>
      <c r="J567" s="19" t="s">
        <v>655</v>
      </c>
      <c r="K567" s="32" t="s">
        <v>656</v>
      </c>
      <c r="L567" s="22"/>
      <c r="M567" s="22"/>
      <c r="N567" s="22"/>
      <c r="O567" s="20" t="s">
        <v>15</v>
      </c>
      <c r="P567" s="25" t="s">
        <v>16</v>
      </c>
      <c r="Q567" s="16">
        <v>2958465</v>
      </c>
    </row>
    <row r="568" spans="1:17">
      <c r="A568" s="11">
        <f t="shared" si="8"/>
        <v>567</v>
      </c>
      <c r="B568" s="11">
        <v>8010072510</v>
      </c>
      <c r="C568" s="25" t="s">
        <v>692</v>
      </c>
      <c r="D568" s="27">
        <v>56900</v>
      </c>
      <c r="E568" s="11">
        <v>0.51</v>
      </c>
      <c r="F568" s="11" t="s">
        <v>11</v>
      </c>
      <c r="G568" s="44">
        <v>29019</v>
      </c>
      <c r="H568" s="28">
        <v>26143.24324324324</v>
      </c>
      <c r="I568" s="19" t="s">
        <v>654</v>
      </c>
      <c r="J568" s="19" t="s">
        <v>655</v>
      </c>
      <c r="K568" s="32" t="s">
        <v>656</v>
      </c>
      <c r="L568" s="22"/>
      <c r="M568" s="22"/>
      <c r="N568" s="22"/>
      <c r="O568" s="20" t="s">
        <v>15</v>
      </c>
      <c r="P568" s="25" t="s">
        <v>16</v>
      </c>
      <c r="Q568" s="16">
        <v>2958465</v>
      </c>
    </row>
    <row r="569" spans="1:17">
      <c r="A569" s="11">
        <f t="shared" si="8"/>
        <v>568</v>
      </c>
      <c r="B569" s="11">
        <v>8010072511</v>
      </c>
      <c r="C569" s="25" t="s">
        <v>688</v>
      </c>
      <c r="D569" s="27">
        <v>72600</v>
      </c>
      <c r="E569" s="11">
        <v>0.51</v>
      </c>
      <c r="F569" s="11" t="s">
        <v>11</v>
      </c>
      <c r="G569" s="44">
        <v>37026</v>
      </c>
      <c r="H569" s="28">
        <v>33356.756756756753</v>
      </c>
      <c r="I569" s="19" t="s">
        <v>654</v>
      </c>
      <c r="J569" s="19" t="s">
        <v>655</v>
      </c>
      <c r="K569" s="32" t="s">
        <v>656</v>
      </c>
      <c r="L569" s="22"/>
      <c r="M569" s="22"/>
      <c r="N569" s="22"/>
      <c r="O569" s="20" t="s">
        <v>15</v>
      </c>
      <c r="P569" s="25" t="s">
        <v>16</v>
      </c>
      <c r="Q569" s="16">
        <v>2958465</v>
      </c>
    </row>
    <row r="570" spans="1:17">
      <c r="A570" s="11">
        <f t="shared" si="8"/>
        <v>569</v>
      </c>
      <c r="B570" s="11">
        <v>8010072512</v>
      </c>
      <c r="C570" s="25" t="s">
        <v>687</v>
      </c>
      <c r="D570" s="27">
        <v>58200</v>
      </c>
      <c r="E570" s="11">
        <v>0.51</v>
      </c>
      <c r="F570" s="11" t="s">
        <v>11</v>
      </c>
      <c r="G570" s="44">
        <v>29682</v>
      </c>
      <c r="H570" s="28">
        <v>26740.54054054054</v>
      </c>
      <c r="I570" s="19" t="s">
        <v>654</v>
      </c>
      <c r="J570" s="19" t="s">
        <v>655</v>
      </c>
      <c r="K570" s="32" t="s">
        <v>656</v>
      </c>
      <c r="L570" s="22"/>
      <c r="M570" s="22"/>
      <c r="N570" s="22"/>
      <c r="O570" s="20" t="s">
        <v>15</v>
      </c>
      <c r="P570" s="25" t="s">
        <v>16</v>
      </c>
      <c r="Q570" s="16">
        <v>2958465</v>
      </c>
    </row>
    <row r="571" spans="1:17">
      <c r="A571" s="11">
        <f t="shared" si="8"/>
        <v>570</v>
      </c>
      <c r="B571" s="11">
        <v>8010072513</v>
      </c>
      <c r="C571" s="25" t="s">
        <v>689</v>
      </c>
      <c r="D571" s="27">
        <v>74500</v>
      </c>
      <c r="E571" s="11">
        <v>0.51</v>
      </c>
      <c r="F571" s="11" t="s">
        <v>11</v>
      </c>
      <c r="G571" s="44">
        <v>37995</v>
      </c>
      <c r="H571" s="28">
        <v>34229.729729729726</v>
      </c>
      <c r="I571" s="19" t="s">
        <v>654</v>
      </c>
      <c r="J571" s="19" t="s">
        <v>655</v>
      </c>
      <c r="K571" s="32" t="s">
        <v>656</v>
      </c>
      <c r="L571" s="22"/>
      <c r="M571" s="22"/>
      <c r="N571" s="22"/>
      <c r="O571" s="20" t="s">
        <v>15</v>
      </c>
      <c r="P571" s="25" t="s">
        <v>16</v>
      </c>
      <c r="Q571" s="16">
        <v>2958465</v>
      </c>
    </row>
    <row r="572" spans="1:17">
      <c r="A572" s="11">
        <f t="shared" si="8"/>
        <v>571</v>
      </c>
      <c r="B572" s="11">
        <v>8010072514</v>
      </c>
      <c r="C572" s="25" t="s">
        <v>690</v>
      </c>
      <c r="D572" s="27">
        <v>165500</v>
      </c>
      <c r="E572" s="11">
        <v>0.51</v>
      </c>
      <c r="F572" s="11" t="s">
        <v>11</v>
      </c>
      <c r="G572" s="44">
        <v>84405</v>
      </c>
      <c r="H572" s="28">
        <v>76040.540540540533</v>
      </c>
      <c r="I572" s="19" t="s">
        <v>654</v>
      </c>
      <c r="J572" s="19" t="s">
        <v>655</v>
      </c>
      <c r="K572" s="32" t="s">
        <v>656</v>
      </c>
      <c r="L572" s="22"/>
      <c r="M572" s="22"/>
      <c r="N572" s="22"/>
      <c r="O572" s="20" t="s">
        <v>15</v>
      </c>
      <c r="P572" s="25" t="s">
        <v>16</v>
      </c>
      <c r="Q572" s="16">
        <v>2958465</v>
      </c>
    </row>
    <row r="573" spans="1:17">
      <c r="A573" s="11">
        <f t="shared" si="8"/>
        <v>572</v>
      </c>
      <c r="B573" s="11">
        <v>8010072515</v>
      </c>
      <c r="C573" s="25" t="s">
        <v>691</v>
      </c>
      <c r="D573" s="27">
        <v>286500</v>
      </c>
      <c r="E573" s="11">
        <v>0.51</v>
      </c>
      <c r="F573" s="11" t="s">
        <v>11</v>
      </c>
      <c r="G573" s="44">
        <v>146115</v>
      </c>
      <c r="H573" s="28">
        <v>131635.13513513512</v>
      </c>
      <c r="I573" s="19" t="s">
        <v>654</v>
      </c>
      <c r="J573" s="19" t="s">
        <v>655</v>
      </c>
      <c r="K573" s="32" t="s">
        <v>656</v>
      </c>
      <c r="L573" s="22"/>
      <c r="M573" s="22"/>
      <c r="N573" s="22"/>
      <c r="O573" s="20" t="s">
        <v>15</v>
      </c>
      <c r="P573" s="25" t="s">
        <v>16</v>
      </c>
      <c r="Q573" s="16">
        <v>2958465</v>
      </c>
    </row>
    <row r="574" spans="1:17">
      <c r="A574" s="11">
        <f t="shared" si="8"/>
        <v>573</v>
      </c>
      <c r="B574" s="11">
        <v>8010072516</v>
      </c>
      <c r="C574" s="25" t="s">
        <v>698</v>
      </c>
      <c r="D574" s="27">
        <v>446300</v>
      </c>
      <c r="E574" s="11">
        <v>0.51</v>
      </c>
      <c r="F574" s="11" t="s">
        <v>11</v>
      </c>
      <c r="G574" s="44">
        <v>227613</v>
      </c>
      <c r="H574" s="28">
        <v>205056.75675675675</v>
      </c>
      <c r="I574" s="19" t="s">
        <v>654</v>
      </c>
      <c r="J574" s="19" t="s">
        <v>655</v>
      </c>
      <c r="K574" s="32" t="s">
        <v>656</v>
      </c>
      <c r="L574" s="22"/>
      <c r="M574" s="22"/>
      <c r="N574" s="22"/>
      <c r="O574" s="20" t="s">
        <v>15</v>
      </c>
      <c r="P574" s="25" t="s">
        <v>16</v>
      </c>
      <c r="Q574" s="16">
        <v>2958465</v>
      </c>
    </row>
    <row r="575" spans="1:17">
      <c r="A575" s="11">
        <f t="shared" si="8"/>
        <v>574</v>
      </c>
      <c r="B575" s="11">
        <v>8010072523</v>
      </c>
      <c r="C575" s="25" t="s">
        <v>699</v>
      </c>
      <c r="D575" s="27">
        <v>267700</v>
      </c>
      <c r="E575" s="11">
        <v>0.51</v>
      </c>
      <c r="F575" s="11" t="s">
        <v>11</v>
      </c>
      <c r="G575" s="44">
        <v>136527</v>
      </c>
      <c r="H575" s="28">
        <v>122997.29729729729</v>
      </c>
      <c r="I575" s="19" t="s">
        <v>654</v>
      </c>
      <c r="J575" s="19" t="s">
        <v>655</v>
      </c>
      <c r="K575" s="32" t="s">
        <v>656</v>
      </c>
      <c r="L575" s="22"/>
      <c r="M575" s="22"/>
      <c r="N575" s="22"/>
      <c r="O575" s="20" t="s">
        <v>15</v>
      </c>
      <c r="P575" s="25" t="s">
        <v>16</v>
      </c>
      <c r="Q575" s="16">
        <v>2958465</v>
      </c>
    </row>
    <row r="576" spans="1:17">
      <c r="A576" s="11">
        <f t="shared" si="8"/>
        <v>575</v>
      </c>
      <c r="B576" s="11">
        <v>8010072524</v>
      </c>
      <c r="C576" s="25" t="s">
        <v>700</v>
      </c>
      <c r="D576" s="27">
        <v>268300</v>
      </c>
      <c r="E576" s="11">
        <v>0.51</v>
      </c>
      <c r="F576" s="11" t="s">
        <v>11</v>
      </c>
      <c r="G576" s="44">
        <v>136833</v>
      </c>
      <c r="H576" s="28">
        <v>123272.97297297296</v>
      </c>
      <c r="I576" s="19" t="s">
        <v>654</v>
      </c>
      <c r="J576" s="19" t="s">
        <v>655</v>
      </c>
      <c r="K576" s="32" t="s">
        <v>656</v>
      </c>
      <c r="L576" s="22"/>
      <c r="M576" s="22"/>
      <c r="N576" s="22"/>
      <c r="O576" s="20" t="s">
        <v>15</v>
      </c>
      <c r="P576" s="25" t="s">
        <v>16</v>
      </c>
      <c r="Q576" s="16">
        <v>2958465</v>
      </c>
    </row>
    <row r="577" spans="1:17">
      <c r="A577" s="11">
        <f t="shared" si="8"/>
        <v>576</v>
      </c>
      <c r="B577" s="11">
        <v>8010072686</v>
      </c>
      <c r="C577" s="25" t="s">
        <v>947</v>
      </c>
      <c r="D577" s="27">
        <v>23700</v>
      </c>
      <c r="E577" s="11">
        <v>0.43</v>
      </c>
      <c r="F577" s="11" t="s">
        <v>11</v>
      </c>
      <c r="G577" s="44">
        <v>10191</v>
      </c>
      <c r="H577" s="28">
        <v>9181.0810810810799</v>
      </c>
      <c r="I577" s="19" t="s">
        <v>654</v>
      </c>
      <c r="J577" s="19" t="s">
        <v>655</v>
      </c>
      <c r="K577" s="32" t="s">
        <v>834</v>
      </c>
      <c r="L577" s="22"/>
      <c r="M577" s="22"/>
      <c r="N577" s="22"/>
      <c r="O577" s="20" t="s">
        <v>15</v>
      </c>
      <c r="P577" s="25" t="s">
        <v>16</v>
      </c>
      <c r="Q577" s="16">
        <v>2958465</v>
      </c>
    </row>
    <row r="578" spans="1:17">
      <c r="A578" s="11">
        <f t="shared" si="8"/>
        <v>577</v>
      </c>
      <c r="B578" s="11">
        <v>8010072687</v>
      </c>
      <c r="C578" s="25" t="s">
        <v>948</v>
      </c>
      <c r="D578" s="27">
        <v>41800</v>
      </c>
      <c r="E578" s="11">
        <v>0.43</v>
      </c>
      <c r="F578" s="11" t="s">
        <v>11</v>
      </c>
      <c r="G578" s="44">
        <v>17974</v>
      </c>
      <c r="H578" s="28">
        <v>16192.792792792792</v>
      </c>
      <c r="I578" s="19" t="s">
        <v>654</v>
      </c>
      <c r="J578" s="19" t="s">
        <v>655</v>
      </c>
      <c r="K578" s="32" t="s">
        <v>834</v>
      </c>
      <c r="L578" s="22"/>
      <c r="M578" s="22"/>
      <c r="N578" s="22"/>
      <c r="O578" s="20" t="s">
        <v>15</v>
      </c>
      <c r="P578" s="25" t="s">
        <v>16</v>
      </c>
      <c r="Q578" s="16">
        <v>2958465</v>
      </c>
    </row>
    <row r="579" spans="1:17">
      <c r="A579" s="11">
        <f t="shared" si="8"/>
        <v>578</v>
      </c>
      <c r="B579" s="11">
        <v>8010072701</v>
      </c>
      <c r="C579" s="25" t="s">
        <v>949</v>
      </c>
      <c r="D579" s="27">
        <v>13100</v>
      </c>
      <c r="E579" s="11">
        <v>0.43</v>
      </c>
      <c r="F579" s="11" t="s">
        <v>11</v>
      </c>
      <c r="G579" s="44">
        <v>5633</v>
      </c>
      <c r="H579" s="28">
        <v>5074.7747747747744</v>
      </c>
      <c r="I579" s="19" t="s">
        <v>654</v>
      </c>
      <c r="J579" s="19" t="s">
        <v>655</v>
      </c>
      <c r="K579" s="32" t="s">
        <v>834</v>
      </c>
      <c r="L579" s="22"/>
      <c r="M579" s="22"/>
      <c r="N579" s="22"/>
      <c r="O579" s="20" t="s">
        <v>15</v>
      </c>
      <c r="P579" s="25" t="s">
        <v>16</v>
      </c>
      <c r="Q579" s="16">
        <v>2958465</v>
      </c>
    </row>
    <row r="580" spans="1:17">
      <c r="A580" s="11">
        <f t="shared" si="8"/>
        <v>579</v>
      </c>
      <c r="B580" s="11">
        <v>8010072702</v>
      </c>
      <c r="C580" s="25" t="s">
        <v>950</v>
      </c>
      <c r="D580" s="27">
        <v>15000</v>
      </c>
      <c r="E580" s="11">
        <v>0.43</v>
      </c>
      <c r="F580" s="11" t="s">
        <v>11</v>
      </c>
      <c r="G580" s="44">
        <v>6450</v>
      </c>
      <c r="H580" s="28">
        <v>5810.8108108108099</v>
      </c>
      <c r="I580" s="19" t="s">
        <v>654</v>
      </c>
      <c r="J580" s="19" t="s">
        <v>655</v>
      </c>
      <c r="K580" s="32" t="s">
        <v>834</v>
      </c>
      <c r="L580" s="22"/>
      <c r="M580" s="22"/>
      <c r="N580" s="22"/>
      <c r="O580" s="20" t="s">
        <v>15</v>
      </c>
      <c r="P580" s="25" t="s">
        <v>16</v>
      </c>
      <c r="Q580" s="16">
        <v>2958465</v>
      </c>
    </row>
    <row r="581" spans="1:17">
      <c r="A581" s="11">
        <f t="shared" ref="A581:A644" si="9">ROW()-1</f>
        <v>580</v>
      </c>
      <c r="B581" s="11">
        <v>8010072703</v>
      </c>
      <c r="C581" s="25" t="s">
        <v>951</v>
      </c>
      <c r="D581" s="27">
        <v>16200</v>
      </c>
      <c r="E581" s="11">
        <v>0.43</v>
      </c>
      <c r="F581" s="11" t="s">
        <v>11</v>
      </c>
      <c r="G581" s="44">
        <v>6966</v>
      </c>
      <c r="H581" s="28">
        <v>6275.6756756756749</v>
      </c>
      <c r="I581" s="19" t="s">
        <v>654</v>
      </c>
      <c r="J581" s="19" t="s">
        <v>655</v>
      </c>
      <c r="K581" s="32" t="s">
        <v>834</v>
      </c>
      <c r="L581" s="22"/>
      <c r="M581" s="22"/>
      <c r="N581" s="22"/>
      <c r="O581" s="20" t="s">
        <v>15</v>
      </c>
      <c r="P581" s="25" t="s">
        <v>16</v>
      </c>
      <c r="Q581" s="16">
        <v>2958465</v>
      </c>
    </row>
    <row r="582" spans="1:17">
      <c r="A582" s="11">
        <f t="shared" si="9"/>
        <v>581</v>
      </c>
      <c r="B582" s="11">
        <v>8010072704</v>
      </c>
      <c r="C582" s="25" t="s">
        <v>952</v>
      </c>
      <c r="D582" s="27">
        <v>19900</v>
      </c>
      <c r="E582" s="11">
        <v>0.43</v>
      </c>
      <c r="F582" s="11" t="s">
        <v>11</v>
      </c>
      <c r="G582" s="44">
        <v>8557</v>
      </c>
      <c r="H582" s="28">
        <v>7709.009009009008</v>
      </c>
      <c r="I582" s="19" t="s">
        <v>654</v>
      </c>
      <c r="J582" s="19" t="s">
        <v>655</v>
      </c>
      <c r="K582" s="32" t="s">
        <v>834</v>
      </c>
      <c r="L582" s="22"/>
      <c r="M582" s="22"/>
      <c r="N582" s="22"/>
      <c r="O582" s="20" t="s">
        <v>15</v>
      </c>
      <c r="P582" s="25" t="s">
        <v>16</v>
      </c>
      <c r="Q582" s="16">
        <v>2958465</v>
      </c>
    </row>
    <row r="583" spans="1:17">
      <c r="A583" s="11">
        <f t="shared" si="9"/>
        <v>582</v>
      </c>
      <c r="B583" s="11">
        <v>8010072705</v>
      </c>
      <c r="C583" s="25" t="s">
        <v>953</v>
      </c>
      <c r="D583" s="27">
        <v>23700</v>
      </c>
      <c r="E583" s="11">
        <v>0.43</v>
      </c>
      <c r="F583" s="11" t="s">
        <v>11</v>
      </c>
      <c r="G583" s="44">
        <v>10191</v>
      </c>
      <c r="H583" s="28">
        <v>9181.0810810810799</v>
      </c>
      <c r="I583" s="19" t="s">
        <v>654</v>
      </c>
      <c r="J583" s="19" t="s">
        <v>655</v>
      </c>
      <c r="K583" s="32" t="s">
        <v>834</v>
      </c>
      <c r="L583" s="22"/>
      <c r="M583" s="22"/>
      <c r="N583" s="22"/>
      <c r="O583" s="20" t="s">
        <v>15</v>
      </c>
      <c r="P583" s="25" t="s">
        <v>16</v>
      </c>
      <c r="Q583" s="16">
        <v>2958465</v>
      </c>
    </row>
    <row r="584" spans="1:17">
      <c r="A584" s="11">
        <f t="shared" si="9"/>
        <v>583</v>
      </c>
      <c r="B584" s="11">
        <v>8010072707</v>
      </c>
      <c r="C584" s="25" t="s">
        <v>954</v>
      </c>
      <c r="D584" s="27">
        <v>2100</v>
      </c>
      <c r="E584" s="11">
        <v>0.43</v>
      </c>
      <c r="F584" s="11" t="s">
        <v>11</v>
      </c>
      <c r="G584" s="44">
        <v>903</v>
      </c>
      <c r="H584" s="28">
        <v>813.51351351351343</v>
      </c>
      <c r="I584" s="19" t="s">
        <v>654</v>
      </c>
      <c r="J584" s="19" t="s">
        <v>655</v>
      </c>
      <c r="K584" s="32" t="s">
        <v>834</v>
      </c>
      <c r="L584" s="22"/>
      <c r="M584" s="22"/>
      <c r="N584" s="22"/>
      <c r="O584" s="20" t="s">
        <v>15</v>
      </c>
      <c r="P584" s="25" t="s">
        <v>16</v>
      </c>
      <c r="Q584" s="16">
        <v>2958465</v>
      </c>
    </row>
    <row r="585" spans="1:17">
      <c r="A585" s="11">
        <f t="shared" si="9"/>
        <v>584</v>
      </c>
      <c r="B585" s="11">
        <v>8010072708</v>
      </c>
      <c r="C585" s="25" t="s">
        <v>966</v>
      </c>
      <c r="D585" s="27">
        <v>1900</v>
      </c>
      <c r="E585" s="11">
        <v>0.43</v>
      </c>
      <c r="F585" s="11" t="s">
        <v>11</v>
      </c>
      <c r="G585" s="44">
        <v>817</v>
      </c>
      <c r="H585" s="28">
        <v>736.03603603603597</v>
      </c>
      <c r="I585" s="19" t="s">
        <v>654</v>
      </c>
      <c r="J585" s="19" t="s">
        <v>655</v>
      </c>
      <c r="K585" s="32" t="s">
        <v>834</v>
      </c>
      <c r="L585" s="22"/>
      <c r="M585" s="22"/>
      <c r="N585" s="22"/>
      <c r="O585" s="20" t="s">
        <v>15</v>
      </c>
      <c r="P585" s="25" t="s">
        <v>16</v>
      </c>
      <c r="Q585" s="16">
        <v>2958465</v>
      </c>
    </row>
    <row r="586" spans="1:17">
      <c r="A586" s="11">
        <f t="shared" si="9"/>
        <v>585</v>
      </c>
      <c r="B586" s="11">
        <v>8010072709</v>
      </c>
      <c r="C586" s="25" t="s">
        <v>971</v>
      </c>
      <c r="D586" s="27">
        <v>1900</v>
      </c>
      <c r="E586" s="11">
        <v>0.43</v>
      </c>
      <c r="F586" s="11" t="s">
        <v>11</v>
      </c>
      <c r="G586" s="44">
        <v>817</v>
      </c>
      <c r="H586" s="28">
        <v>736.03603603603597</v>
      </c>
      <c r="I586" s="19" t="s">
        <v>654</v>
      </c>
      <c r="J586" s="19" t="s">
        <v>655</v>
      </c>
      <c r="K586" s="32" t="s">
        <v>834</v>
      </c>
      <c r="L586" s="22"/>
      <c r="M586" s="22"/>
      <c r="N586" s="22"/>
      <c r="O586" s="20" t="s">
        <v>15</v>
      </c>
      <c r="P586" s="25" t="s">
        <v>16</v>
      </c>
      <c r="Q586" s="16">
        <v>2958465</v>
      </c>
    </row>
    <row r="587" spans="1:17">
      <c r="A587" s="11">
        <f t="shared" si="9"/>
        <v>586</v>
      </c>
      <c r="B587" s="11">
        <v>8010072710</v>
      </c>
      <c r="C587" s="25" t="s">
        <v>972</v>
      </c>
      <c r="D587" s="27">
        <v>6300</v>
      </c>
      <c r="E587" s="11">
        <v>0.43</v>
      </c>
      <c r="F587" s="11" t="s">
        <v>11</v>
      </c>
      <c r="G587" s="44">
        <v>2709</v>
      </c>
      <c r="H587" s="28">
        <v>2440.5405405405404</v>
      </c>
      <c r="I587" s="19" t="s">
        <v>654</v>
      </c>
      <c r="J587" s="19" t="s">
        <v>655</v>
      </c>
      <c r="K587" s="32" t="s">
        <v>834</v>
      </c>
      <c r="L587" s="22"/>
      <c r="M587" s="22"/>
      <c r="N587" s="22"/>
      <c r="O587" s="20" t="s">
        <v>15</v>
      </c>
      <c r="P587" s="25" t="s">
        <v>16</v>
      </c>
      <c r="Q587" s="16">
        <v>2958465</v>
      </c>
    </row>
    <row r="588" spans="1:17">
      <c r="A588" s="11">
        <f t="shared" si="9"/>
        <v>587</v>
      </c>
      <c r="B588" s="11">
        <v>8010072711</v>
      </c>
      <c r="C588" s="25" t="s">
        <v>973</v>
      </c>
      <c r="D588" s="27">
        <v>4400</v>
      </c>
      <c r="E588" s="11">
        <v>0.43</v>
      </c>
      <c r="F588" s="11" t="s">
        <v>11</v>
      </c>
      <c r="G588" s="44">
        <v>1892</v>
      </c>
      <c r="H588" s="28">
        <v>1704.5045045045044</v>
      </c>
      <c r="I588" s="19" t="s">
        <v>654</v>
      </c>
      <c r="J588" s="19" t="s">
        <v>655</v>
      </c>
      <c r="K588" s="32" t="s">
        <v>834</v>
      </c>
      <c r="L588" s="22"/>
      <c r="M588" s="22"/>
      <c r="N588" s="22"/>
      <c r="O588" s="20" t="s">
        <v>15</v>
      </c>
      <c r="P588" s="25" t="s">
        <v>16</v>
      </c>
      <c r="Q588" s="16">
        <v>2958465</v>
      </c>
    </row>
    <row r="589" spans="1:17">
      <c r="A589" s="11">
        <f t="shared" si="9"/>
        <v>588</v>
      </c>
      <c r="B589" s="11">
        <v>8010072712</v>
      </c>
      <c r="C589" s="25" t="s">
        <v>974</v>
      </c>
      <c r="D589" s="27">
        <v>7500</v>
      </c>
      <c r="E589" s="11">
        <v>0.43</v>
      </c>
      <c r="F589" s="11" t="s">
        <v>11</v>
      </c>
      <c r="G589" s="44">
        <v>3225</v>
      </c>
      <c r="H589" s="28">
        <v>2905.405405405405</v>
      </c>
      <c r="I589" s="19" t="s">
        <v>654</v>
      </c>
      <c r="J589" s="19" t="s">
        <v>655</v>
      </c>
      <c r="K589" s="32" t="s">
        <v>834</v>
      </c>
      <c r="L589" s="22"/>
      <c r="M589" s="22"/>
      <c r="N589" s="22"/>
      <c r="O589" s="20" t="s">
        <v>15</v>
      </c>
      <c r="P589" s="25" t="s">
        <v>16</v>
      </c>
      <c r="Q589" s="16">
        <v>2958465</v>
      </c>
    </row>
    <row r="590" spans="1:17">
      <c r="A590" s="11">
        <f t="shared" si="9"/>
        <v>589</v>
      </c>
      <c r="B590" s="11">
        <v>8010072713</v>
      </c>
      <c r="C590" s="25" t="s">
        <v>975</v>
      </c>
      <c r="D590" s="27">
        <v>9400</v>
      </c>
      <c r="E590" s="11">
        <v>0.43</v>
      </c>
      <c r="F590" s="11" t="s">
        <v>11</v>
      </c>
      <c r="G590" s="44">
        <v>4042</v>
      </c>
      <c r="H590" s="28">
        <v>3641.4414414414409</v>
      </c>
      <c r="I590" s="19" t="s">
        <v>654</v>
      </c>
      <c r="J590" s="19" t="s">
        <v>655</v>
      </c>
      <c r="K590" s="32" t="s">
        <v>834</v>
      </c>
      <c r="L590" s="22"/>
      <c r="M590" s="22"/>
      <c r="N590" s="22"/>
      <c r="O590" s="20" t="s">
        <v>15</v>
      </c>
      <c r="P590" s="25" t="s">
        <v>16</v>
      </c>
      <c r="Q590" s="16">
        <v>2958465</v>
      </c>
    </row>
    <row r="591" spans="1:17">
      <c r="A591" s="11">
        <f t="shared" si="9"/>
        <v>590</v>
      </c>
      <c r="B591" s="11">
        <v>8010072714</v>
      </c>
      <c r="C591" s="25" t="s">
        <v>976</v>
      </c>
      <c r="D591" s="27">
        <v>10600</v>
      </c>
      <c r="E591" s="11">
        <v>0.43</v>
      </c>
      <c r="F591" s="11" t="s">
        <v>11</v>
      </c>
      <c r="G591" s="44">
        <v>4558</v>
      </c>
      <c r="H591" s="28">
        <v>4106.3063063063064</v>
      </c>
      <c r="I591" s="19" t="s">
        <v>654</v>
      </c>
      <c r="J591" s="19" t="s">
        <v>655</v>
      </c>
      <c r="K591" s="32" t="s">
        <v>834</v>
      </c>
      <c r="L591" s="22"/>
      <c r="M591" s="22"/>
      <c r="N591" s="22"/>
      <c r="O591" s="20" t="s">
        <v>15</v>
      </c>
      <c r="P591" s="25" t="s">
        <v>16</v>
      </c>
      <c r="Q591" s="16">
        <v>2958465</v>
      </c>
    </row>
    <row r="592" spans="1:17">
      <c r="A592" s="11">
        <f t="shared" si="9"/>
        <v>591</v>
      </c>
      <c r="B592" s="11">
        <v>8010072715</v>
      </c>
      <c r="C592" s="25" t="s">
        <v>977</v>
      </c>
      <c r="D592" s="27">
        <v>5000</v>
      </c>
      <c r="E592" s="11">
        <v>0.43</v>
      </c>
      <c r="F592" s="11" t="s">
        <v>11</v>
      </c>
      <c r="G592" s="44">
        <v>2150</v>
      </c>
      <c r="H592" s="28">
        <v>1936.9369369369367</v>
      </c>
      <c r="I592" s="19" t="s">
        <v>654</v>
      </c>
      <c r="J592" s="19" t="s">
        <v>655</v>
      </c>
      <c r="K592" s="32" t="s">
        <v>834</v>
      </c>
      <c r="L592" s="22"/>
      <c r="M592" s="22"/>
      <c r="N592" s="22"/>
      <c r="O592" s="20" t="s">
        <v>15</v>
      </c>
      <c r="P592" s="25" t="s">
        <v>16</v>
      </c>
      <c r="Q592" s="16">
        <v>2958465</v>
      </c>
    </row>
    <row r="593" spans="1:17">
      <c r="A593" s="11">
        <f t="shared" si="9"/>
        <v>592</v>
      </c>
      <c r="B593" s="11">
        <v>8010072716</v>
      </c>
      <c r="C593" s="25" t="s">
        <v>978</v>
      </c>
      <c r="D593" s="27">
        <v>1050</v>
      </c>
      <c r="E593" s="11">
        <v>0.43</v>
      </c>
      <c r="F593" s="11" t="s">
        <v>11</v>
      </c>
      <c r="G593" s="44">
        <v>452</v>
      </c>
      <c r="H593" s="28">
        <v>407.20720720720715</v>
      </c>
      <c r="I593" s="19" t="s">
        <v>654</v>
      </c>
      <c r="J593" s="19" t="s">
        <v>655</v>
      </c>
      <c r="K593" s="32" t="s">
        <v>834</v>
      </c>
      <c r="L593" s="22"/>
      <c r="M593" s="22"/>
      <c r="N593" s="22"/>
      <c r="O593" s="20" t="s">
        <v>15</v>
      </c>
      <c r="P593" s="25" t="s">
        <v>16</v>
      </c>
      <c r="Q593" s="16">
        <v>2958465</v>
      </c>
    </row>
    <row r="594" spans="1:17">
      <c r="A594" s="11">
        <f t="shared" si="9"/>
        <v>593</v>
      </c>
      <c r="B594" s="11">
        <v>8010072717</v>
      </c>
      <c r="C594" s="25" t="s">
        <v>979</v>
      </c>
      <c r="D594" s="27">
        <v>13800</v>
      </c>
      <c r="E594" s="11">
        <v>0.43</v>
      </c>
      <c r="F594" s="11" t="s">
        <v>11</v>
      </c>
      <c r="G594" s="44">
        <v>5934</v>
      </c>
      <c r="H594" s="28">
        <v>5345.9459459459458</v>
      </c>
      <c r="I594" s="19" t="s">
        <v>654</v>
      </c>
      <c r="J594" s="19" t="s">
        <v>655</v>
      </c>
      <c r="K594" s="32" t="s">
        <v>834</v>
      </c>
      <c r="L594" s="22"/>
      <c r="M594" s="22"/>
      <c r="N594" s="22"/>
      <c r="O594" s="20" t="s">
        <v>15</v>
      </c>
      <c r="P594" s="25" t="s">
        <v>16</v>
      </c>
      <c r="Q594" s="16">
        <v>2958465</v>
      </c>
    </row>
    <row r="595" spans="1:17">
      <c r="A595" s="11">
        <f t="shared" si="9"/>
        <v>594</v>
      </c>
      <c r="B595" s="11">
        <v>8010072718</v>
      </c>
      <c r="C595" s="25" t="s">
        <v>980</v>
      </c>
      <c r="D595" s="27">
        <v>700</v>
      </c>
      <c r="E595" s="11">
        <v>0.43</v>
      </c>
      <c r="F595" s="11" t="s">
        <v>11</v>
      </c>
      <c r="G595" s="44">
        <v>301</v>
      </c>
      <c r="H595" s="28">
        <v>271.17117117117112</v>
      </c>
      <c r="I595" s="19" t="s">
        <v>654</v>
      </c>
      <c r="J595" s="19" t="s">
        <v>655</v>
      </c>
      <c r="K595" s="32" t="s">
        <v>834</v>
      </c>
      <c r="L595" s="22"/>
      <c r="M595" s="22"/>
      <c r="N595" s="22"/>
      <c r="O595" s="20" t="s">
        <v>15</v>
      </c>
      <c r="P595" s="25" t="s">
        <v>16</v>
      </c>
      <c r="Q595" s="16">
        <v>2958465</v>
      </c>
    </row>
    <row r="596" spans="1:17">
      <c r="A596" s="11">
        <f t="shared" si="9"/>
        <v>595</v>
      </c>
      <c r="B596" s="11">
        <v>8010072719</v>
      </c>
      <c r="C596" s="25" t="s">
        <v>981</v>
      </c>
      <c r="D596" s="27">
        <v>900</v>
      </c>
      <c r="E596" s="11">
        <v>0.43</v>
      </c>
      <c r="F596" s="11" t="s">
        <v>11</v>
      </c>
      <c r="G596" s="44">
        <v>387</v>
      </c>
      <c r="H596" s="28">
        <v>348.64864864864865</v>
      </c>
      <c r="I596" s="19" t="s">
        <v>654</v>
      </c>
      <c r="J596" s="19" t="s">
        <v>655</v>
      </c>
      <c r="K596" s="32" t="s">
        <v>834</v>
      </c>
      <c r="L596" s="22"/>
      <c r="M596" s="22"/>
      <c r="N596" s="22"/>
      <c r="O596" s="20" t="s">
        <v>15</v>
      </c>
      <c r="P596" s="25" t="s">
        <v>16</v>
      </c>
      <c r="Q596" s="16">
        <v>2958465</v>
      </c>
    </row>
    <row r="597" spans="1:17">
      <c r="A597" s="11">
        <f t="shared" si="9"/>
        <v>596</v>
      </c>
      <c r="B597" s="11">
        <v>8010072720</v>
      </c>
      <c r="C597" s="25" t="s">
        <v>982</v>
      </c>
      <c r="D597" s="27">
        <v>1100</v>
      </c>
      <c r="E597" s="11">
        <v>0.43</v>
      </c>
      <c r="F597" s="11" t="s">
        <v>11</v>
      </c>
      <c r="G597" s="44">
        <v>473</v>
      </c>
      <c r="H597" s="28">
        <v>426.12612612612611</v>
      </c>
      <c r="I597" s="19" t="s">
        <v>654</v>
      </c>
      <c r="J597" s="19" t="s">
        <v>655</v>
      </c>
      <c r="K597" s="32" t="s">
        <v>834</v>
      </c>
      <c r="L597" s="22"/>
      <c r="M597" s="22"/>
      <c r="N597" s="22"/>
      <c r="O597" s="20" t="s">
        <v>15</v>
      </c>
      <c r="P597" s="25" t="s">
        <v>16</v>
      </c>
      <c r="Q597" s="16">
        <v>2958465</v>
      </c>
    </row>
    <row r="598" spans="1:17">
      <c r="A598" s="11">
        <f t="shared" si="9"/>
        <v>597</v>
      </c>
      <c r="B598" s="11">
        <v>8010072721</v>
      </c>
      <c r="C598" s="25" t="s">
        <v>983</v>
      </c>
      <c r="D598" s="27">
        <v>1300</v>
      </c>
      <c r="E598" s="11">
        <v>0.43</v>
      </c>
      <c r="F598" s="11" t="s">
        <v>11</v>
      </c>
      <c r="G598" s="44">
        <v>559</v>
      </c>
      <c r="H598" s="28">
        <v>503.60360360360357</v>
      </c>
      <c r="I598" s="19" t="s">
        <v>654</v>
      </c>
      <c r="J598" s="19" t="s">
        <v>655</v>
      </c>
      <c r="K598" s="32" t="s">
        <v>834</v>
      </c>
      <c r="L598" s="22"/>
      <c r="M598" s="22"/>
      <c r="N598" s="22"/>
      <c r="O598" s="20" t="s">
        <v>15</v>
      </c>
      <c r="P598" s="25" t="s">
        <v>16</v>
      </c>
      <c r="Q598" s="16">
        <v>2958465</v>
      </c>
    </row>
    <row r="599" spans="1:17">
      <c r="A599" s="11">
        <f t="shared" si="9"/>
        <v>598</v>
      </c>
      <c r="B599" s="11">
        <v>8010072722</v>
      </c>
      <c r="C599" s="25" t="s">
        <v>984</v>
      </c>
      <c r="D599" s="27">
        <v>1500</v>
      </c>
      <c r="E599" s="11">
        <v>0.43</v>
      </c>
      <c r="F599" s="11" t="s">
        <v>11</v>
      </c>
      <c r="G599" s="44">
        <v>645</v>
      </c>
      <c r="H599" s="28">
        <v>581.08108108108104</v>
      </c>
      <c r="I599" s="19" t="s">
        <v>654</v>
      </c>
      <c r="J599" s="19" t="s">
        <v>655</v>
      </c>
      <c r="K599" s="32" t="s">
        <v>834</v>
      </c>
      <c r="L599" s="22"/>
      <c r="M599" s="22"/>
      <c r="N599" s="22"/>
      <c r="O599" s="20" t="s">
        <v>15</v>
      </c>
      <c r="P599" s="25" t="s">
        <v>16</v>
      </c>
      <c r="Q599" s="16">
        <v>2958465</v>
      </c>
    </row>
    <row r="600" spans="1:17">
      <c r="A600" s="11">
        <f t="shared" si="9"/>
        <v>599</v>
      </c>
      <c r="B600" s="11">
        <v>8010072723</v>
      </c>
      <c r="C600" s="25" t="s">
        <v>985</v>
      </c>
      <c r="D600" s="27">
        <v>1900</v>
      </c>
      <c r="E600" s="11">
        <v>0.43</v>
      </c>
      <c r="F600" s="11" t="s">
        <v>11</v>
      </c>
      <c r="G600" s="44">
        <v>817</v>
      </c>
      <c r="H600" s="28">
        <v>736.03603603603597</v>
      </c>
      <c r="I600" s="19" t="s">
        <v>654</v>
      </c>
      <c r="J600" s="19" t="s">
        <v>655</v>
      </c>
      <c r="K600" s="32" t="s">
        <v>834</v>
      </c>
      <c r="L600" s="22"/>
      <c r="M600" s="22"/>
      <c r="N600" s="22"/>
      <c r="O600" s="20" t="s">
        <v>15</v>
      </c>
      <c r="P600" s="25" t="s">
        <v>16</v>
      </c>
      <c r="Q600" s="16">
        <v>2958465</v>
      </c>
    </row>
    <row r="601" spans="1:17">
      <c r="A601" s="11">
        <f t="shared" si="9"/>
        <v>600</v>
      </c>
      <c r="B601" s="11">
        <v>8010072724</v>
      </c>
      <c r="C601" s="25" t="s">
        <v>986</v>
      </c>
      <c r="D601" s="27">
        <v>2100</v>
      </c>
      <c r="E601" s="11">
        <v>0.43</v>
      </c>
      <c r="F601" s="11" t="s">
        <v>11</v>
      </c>
      <c r="G601" s="44">
        <v>903</v>
      </c>
      <c r="H601" s="28">
        <v>813.51351351351343</v>
      </c>
      <c r="I601" s="19" t="s">
        <v>654</v>
      </c>
      <c r="J601" s="19" t="s">
        <v>655</v>
      </c>
      <c r="K601" s="32" t="s">
        <v>834</v>
      </c>
      <c r="L601" s="22"/>
      <c r="M601" s="22"/>
      <c r="N601" s="22"/>
      <c r="O601" s="20" t="s">
        <v>15</v>
      </c>
      <c r="P601" s="25" t="s">
        <v>16</v>
      </c>
      <c r="Q601" s="16">
        <v>2958465</v>
      </c>
    </row>
    <row r="602" spans="1:17">
      <c r="A602" s="11">
        <f t="shared" si="9"/>
        <v>601</v>
      </c>
      <c r="B602" s="11">
        <v>8010072725</v>
      </c>
      <c r="C602" s="25" t="s">
        <v>987</v>
      </c>
      <c r="D602" s="27">
        <v>2500</v>
      </c>
      <c r="E602" s="11">
        <v>0.43</v>
      </c>
      <c r="F602" s="11" t="s">
        <v>11</v>
      </c>
      <c r="G602" s="44">
        <v>1075</v>
      </c>
      <c r="H602" s="28">
        <v>968.46846846846836</v>
      </c>
      <c r="I602" s="19" t="s">
        <v>654</v>
      </c>
      <c r="J602" s="19" t="s">
        <v>655</v>
      </c>
      <c r="K602" s="32" t="s">
        <v>834</v>
      </c>
      <c r="L602" s="22"/>
      <c r="M602" s="22"/>
      <c r="N602" s="22"/>
      <c r="O602" s="20" t="s">
        <v>15</v>
      </c>
      <c r="P602" s="25" t="s">
        <v>16</v>
      </c>
      <c r="Q602" s="16">
        <v>2958465</v>
      </c>
    </row>
    <row r="603" spans="1:17">
      <c r="A603" s="11">
        <f t="shared" si="9"/>
        <v>602</v>
      </c>
      <c r="B603" s="11">
        <v>8010072726</v>
      </c>
      <c r="C603" s="25" t="s">
        <v>988</v>
      </c>
      <c r="D603" s="27">
        <v>1050</v>
      </c>
      <c r="E603" s="11">
        <v>0.43</v>
      </c>
      <c r="F603" s="11" t="s">
        <v>11</v>
      </c>
      <c r="G603" s="44">
        <v>452</v>
      </c>
      <c r="H603" s="28">
        <v>407.20720720720715</v>
      </c>
      <c r="I603" s="19" t="s">
        <v>654</v>
      </c>
      <c r="J603" s="19" t="s">
        <v>655</v>
      </c>
      <c r="K603" s="32" t="s">
        <v>834</v>
      </c>
      <c r="L603" s="22"/>
      <c r="M603" s="22"/>
      <c r="N603" s="22"/>
      <c r="O603" s="20" t="s">
        <v>15</v>
      </c>
      <c r="P603" s="25" t="s">
        <v>16</v>
      </c>
      <c r="Q603" s="16">
        <v>2958465</v>
      </c>
    </row>
    <row r="604" spans="1:17">
      <c r="A604" s="11">
        <f t="shared" si="9"/>
        <v>603</v>
      </c>
      <c r="B604" s="11">
        <v>8010072730</v>
      </c>
      <c r="C604" s="25" t="s">
        <v>732</v>
      </c>
      <c r="D604" s="27">
        <v>143300</v>
      </c>
      <c r="E604" s="11">
        <v>0.51</v>
      </c>
      <c r="F604" s="11" t="s">
        <v>11</v>
      </c>
      <c r="G604" s="44">
        <v>73083</v>
      </c>
      <c r="H604" s="28">
        <v>65840.540540540533</v>
      </c>
      <c r="I604" s="19" t="s">
        <v>654</v>
      </c>
      <c r="J604" s="19" t="s">
        <v>655</v>
      </c>
      <c r="K604" s="32" t="s">
        <v>656</v>
      </c>
      <c r="L604" s="22"/>
      <c r="M604" s="22"/>
      <c r="N604" s="22"/>
      <c r="O604" s="20" t="s">
        <v>15</v>
      </c>
      <c r="P604" s="25" t="s">
        <v>16</v>
      </c>
      <c r="Q604" s="16">
        <v>2958465</v>
      </c>
    </row>
    <row r="605" spans="1:17">
      <c r="A605" s="11">
        <f t="shared" si="9"/>
        <v>604</v>
      </c>
      <c r="B605" s="11">
        <v>8010072731</v>
      </c>
      <c r="C605" s="25" t="s">
        <v>733</v>
      </c>
      <c r="D605" s="27">
        <v>208300</v>
      </c>
      <c r="E605" s="11">
        <v>0.51</v>
      </c>
      <c r="F605" s="11" t="s">
        <v>11</v>
      </c>
      <c r="G605" s="44">
        <v>106233</v>
      </c>
      <c r="H605" s="28">
        <v>95705.4054054054</v>
      </c>
      <c r="I605" s="19" t="s">
        <v>654</v>
      </c>
      <c r="J605" s="19" t="s">
        <v>655</v>
      </c>
      <c r="K605" s="32" t="s">
        <v>656</v>
      </c>
      <c r="L605" s="22"/>
      <c r="M605" s="22"/>
      <c r="N605" s="22"/>
      <c r="O605" s="20" t="s">
        <v>15</v>
      </c>
      <c r="P605" s="25" t="s">
        <v>16</v>
      </c>
      <c r="Q605" s="16">
        <v>2958465</v>
      </c>
    </row>
    <row r="606" spans="1:17">
      <c r="A606" s="11">
        <f t="shared" si="9"/>
        <v>605</v>
      </c>
      <c r="B606" s="11">
        <v>8010072732</v>
      </c>
      <c r="C606" s="25" t="s">
        <v>734</v>
      </c>
      <c r="D606" s="27">
        <v>363400</v>
      </c>
      <c r="E606" s="11">
        <v>0.51</v>
      </c>
      <c r="F606" s="11" t="s">
        <v>11</v>
      </c>
      <c r="G606" s="44">
        <v>185334</v>
      </c>
      <c r="H606" s="28">
        <v>166967.56756756754</v>
      </c>
      <c r="I606" s="19" t="s">
        <v>654</v>
      </c>
      <c r="J606" s="19" t="s">
        <v>655</v>
      </c>
      <c r="K606" s="32" t="s">
        <v>656</v>
      </c>
      <c r="L606" s="22"/>
      <c r="M606" s="22"/>
      <c r="N606" s="22"/>
      <c r="O606" s="20" t="s">
        <v>15</v>
      </c>
      <c r="P606" s="25" t="s">
        <v>16</v>
      </c>
      <c r="Q606" s="16">
        <v>2958465</v>
      </c>
    </row>
    <row r="607" spans="1:17">
      <c r="A607" s="11">
        <f t="shared" si="9"/>
        <v>606</v>
      </c>
      <c r="B607" s="11">
        <v>8010072736</v>
      </c>
      <c r="C607" s="25" t="s">
        <v>735</v>
      </c>
      <c r="D607" s="27">
        <v>139500</v>
      </c>
      <c r="E607" s="11">
        <v>0.51</v>
      </c>
      <c r="F607" s="11" t="s">
        <v>11</v>
      </c>
      <c r="G607" s="44">
        <v>71145</v>
      </c>
      <c r="H607" s="28">
        <v>64094.594594594586</v>
      </c>
      <c r="I607" s="19" t="s">
        <v>654</v>
      </c>
      <c r="J607" s="19" t="s">
        <v>655</v>
      </c>
      <c r="K607" s="32" t="s">
        <v>656</v>
      </c>
      <c r="L607" s="22"/>
      <c r="M607" s="22"/>
      <c r="N607" s="22"/>
      <c r="O607" s="20" t="s">
        <v>15</v>
      </c>
      <c r="P607" s="25" t="s">
        <v>16</v>
      </c>
      <c r="Q607" s="16">
        <v>2958465</v>
      </c>
    </row>
    <row r="608" spans="1:17">
      <c r="A608" s="11">
        <f t="shared" si="9"/>
        <v>607</v>
      </c>
      <c r="B608" s="11">
        <v>8010072737</v>
      </c>
      <c r="C608" s="25" t="s">
        <v>731</v>
      </c>
      <c r="D608" s="27">
        <v>195200</v>
      </c>
      <c r="E608" s="11">
        <v>0.51</v>
      </c>
      <c r="F608" s="11" t="s">
        <v>11</v>
      </c>
      <c r="G608" s="44">
        <v>99552</v>
      </c>
      <c r="H608" s="28">
        <v>89686.486486486479</v>
      </c>
      <c r="I608" s="19" t="s">
        <v>654</v>
      </c>
      <c r="J608" s="19" t="s">
        <v>655</v>
      </c>
      <c r="K608" s="32" t="s">
        <v>656</v>
      </c>
      <c r="L608" s="22"/>
      <c r="M608" s="22"/>
      <c r="N608" s="22"/>
      <c r="O608" s="20" t="s">
        <v>15</v>
      </c>
      <c r="P608" s="25" t="s">
        <v>16</v>
      </c>
      <c r="Q608" s="16">
        <v>2958465</v>
      </c>
    </row>
    <row r="609" spans="1:17">
      <c r="A609" s="11">
        <f t="shared" si="9"/>
        <v>608</v>
      </c>
      <c r="B609" s="11">
        <v>8010072738</v>
      </c>
      <c r="C609" s="25" t="s">
        <v>713</v>
      </c>
      <c r="D609" s="27">
        <v>325300</v>
      </c>
      <c r="E609" s="11">
        <v>0.51</v>
      </c>
      <c r="F609" s="11" t="s">
        <v>11</v>
      </c>
      <c r="G609" s="44">
        <v>165903</v>
      </c>
      <c r="H609" s="28">
        <v>149462.16216216216</v>
      </c>
      <c r="I609" s="19" t="s">
        <v>654</v>
      </c>
      <c r="J609" s="19" t="s">
        <v>655</v>
      </c>
      <c r="K609" s="32" t="s">
        <v>656</v>
      </c>
      <c r="L609" s="22"/>
      <c r="M609" s="22"/>
      <c r="N609" s="22"/>
      <c r="O609" s="20" t="s">
        <v>15</v>
      </c>
      <c r="P609" s="25" t="s">
        <v>16</v>
      </c>
      <c r="Q609" s="16">
        <v>2958465</v>
      </c>
    </row>
    <row r="610" spans="1:17">
      <c r="A610" s="11">
        <f t="shared" si="9"/>
        <v>609</v>
      </c>
      <c r="B610" s="11">
        <v>8010072739</v>
      </c>
      <c r="C610" s="25" t="s">
        <v>714</v>
      </c>
      <c r="D610" s="27">
        <v>716800</v>
      </c>
      <c r="E610" s="11">
        <v>0.51</v>
      </c>
      <c r="F610" s="11" t="s">
        <v>11</v>
      </c>
      <c r="G610" s="44">
        <v>365568</v>
      </c>
      <c r="H610" s="28">
        <v>329340.54054054053</v>
      </c>
      <c r="I610" s="19" t="s">
        <v>654</v>
      </c>
      <c r="J610" s="19" t="s">
        <v>655</v>
      </c>
      <c r="K610" s="32" t="s">
        <v>656</v>
      </c>
      <c r="L610" s="22"/>
      <c r="M610" s="22"/>
      <c r="N610" s="22"/>
      <c r="O610" s="20" t="s">
        <v>15</v>
      </c>
      <c r="P610" s="25" t="s">
        <v>16</v>
      </c>
      <c r="Q610" s="16">
        <v>2958465</v>
      </c>
    </row>
    <row r="611" spans="1:17">
      <c r="A611" s="11">
        <f t="shared" si="9"/>
        <v>610</v>
      </c>
      <c r="B611" s="11">
        <v>8010072740</v>
      </c>
      <c r="C611" s="25" t="s">
        <v>715</v>
      </c>
      <c r="D611" s="27">
        <v>1040100</v>
      </c>
      <c r="E611" s="11">
        <v>0.51</v>
      </c>
      <c r="F611" s="11" t="s">
        <v>11</v>
      </c>
      <c r="G611" s="44">
        <v>530451</v>
      </c>
      <c r="H611" s="28">
        <v>477883.78378378373</v>
      </c>
      <c r="I611" s="19" t="s">
        <v>654</v>
      </c>
      <c r="J611" s="19" t="s">
        <v>655</v>
      </c>
      <c r="K611" s="32" t="s">
        <v>656</v>
      </c>
      <c r="L611" s="22"/>
      <c r="M611" s="22"/>
      <c r="N611" s="22"/>
      <c r="O611" s="20" t="s">
        <v>15</v>
      </c>
      <c r="P611" s="25" t="s">
        <v>16</v>
      </c>
      <c r="Q611" s="16">
        <v>2958465</v>
      </c>
    </row>
    <row r="612" spans="1:17">
      <c r="A612" s="11">
        <f t="shared" si="9"/>
        <v>611</v>
      </c>
      <c r="B612" s="11">
        <v>8010072741</v>
      </c>
      <c r="C612" s="25" t="s">
        <v>716</v>
      </c>
      <c r="D612" s="27">
        <v>1533600</v>
      </c>
      <c r="E612" s="11">
        <v>0.51</v>
      </c>
      <c r="F612" s="11" t="s">
        <v>11</v>
      </c>
      <c r="G612" s="44">
        <v>782136</v>
      </c>
      <c r="H612" s="28">
        <v>704627.02702702698</v>
      </c>
      <c r="I612" s="19" t="s">
        <v>654</v>
      </c>
      <c r="J612" s="19" t="s">
        <v>655</v>
      </c>
      <c r="K612" s="32" t="s">
        <v>656</v>
      </c>
      <c r="L612" s="22"/>
      <c r="M612" s="22"/>
      <c r="N612" s="22"/>
      <c r="O612" s="20" t="s">
        <v>15</v>
      </c>
      <c r="P612" s="25" t="s">
        <v>16</v>
      </c>
      <c r="Q612" s="16">
        <v>2958465</v>
      </c>
    </row>
    <row r="613" spans="1:17">
      <c r="A613" s="11">
        <f t="shared" si="9"/>
        <v>612</v>
      </c>
      <c r="B613" s="11">
        <v>8010072742</v>
      </c>
      <c r="C613" s="25" t="s">
        <v>717</v>
      </c>
      <c r="D613" s="27">
        <v>50000</v>
      </c>
      <c r="E613" s="11">
        <v>0.51</v>
      </c>
      <c r="F613" s="11" t="s">
        <v>11</v>
      </c>
      <c r="G613" s="44">
        <v>25500</v>
      </c>
      <c r="H613" s="28">
        <v>22972.97297297297</v>
      </c>
      <c r="I613" s="19" t="s">
        <v>654</v>
      </c>
      <c r="J613" s="19" t="s">
        <v>655</v>
      </c>
      <c r="K613" s="32" t="s">
        <v>656</v>
      </c>
      <c r="L613" s="22"/>
      <c r="M613" s="22"/>
      <c r="N613" s="22"/>
      <c r="O613" s="20" t="s">
        <v>15</v>
      </c>
      <c r="P613" s="25" t="s">
        <v>16</v>
      </c>
      <c r="Q613" s="16">
        <v>2958465</v>
      </c>
    </row>
    <row r="614" spans="1:17">
      <c r="A614" s="11">
        <f t="shared" si="9"/>
        <v>613</v>
      </c>
      <c r="B614" s="11">
        <v>8010072743</v>
      </c>
      <c r="C614" s="25" t="s">
        <v>718</v>
      </c>
      <c r="D614" s="27">
        <v>64050</v>
      </c>
      <c r="E614" s="11">
        <v>0.51</v>
      </c>
      <c r="F614" s="11" t="s">
        <v>11</v>
      </c>
      <c r="G614" s="44">
        <v>32666</v>
      </c>
      <c r="H614" s="28">
        <v>29428.828828828828</v>
      </c>
      <c r="I614" s="19" t="s">
        <v>654</v>
      </c>
      <c r="J614" s="19" t="s">
        <v>655</v>
      </c>
      <c r="K614" s="32" t="s">
        <v>656</v>
      </c>
      <c r="L614" s="22"/>
      <c r="M614" s="22"/>
      <c r="N614" s="22"/>
      <c r="O614" s="20" t="s">
        <v>15</v>
      </c>
      <c r="P614" s="25" t="s">
        <v>16</v>
      </c>
      <c r="Q614" s="16">
        <v>2958465</v>
      </c>
    </row>
    <row r="615" spans="1:17">
      <c r="A615" s="11">
        <f t="shared" si="9"/>
        <v>614</v>
      </c>
      <c r="B615" s="11">
        <v>8010072744</v>
      </c>
      <c r="C615" s="25" t="s">
        <v>719</v>
      </c>
      <c r="D615" s="27">
        <v>49400</v>
      </c>
      <c r="E615" s="11">
        <v>0.51</v>
      </c>
      <c r="F615" s="11" t="s">
        <v>11</v>
      </c>
      <c r="G615" s="44">
        <v>25194</v>
      </c>
      <c r="H615" s="28">
        <v>22697.297297297297</v>
      </c>
      <c r="I615" s="19" t="s">
        <v>654</v>
      </c>
      <c r="J615" s="19" t="s">
        <v>655</v>
      </c>
      <c r="K615" s="32" t="s">
        <v>656</v>
      </c>
      <c r="L615" s="22"/>
      <c r="M615" s="22"/>
      <c r="N615" s="22"/>
      <c r="O615" s="20" t="s">
        <v>15</v>
      </c>
      <c r="P615" s="25" t="s">
        <v>16</v>
      </c>
      <c r="Q615" s="16">
        <v>2958465</v>
      </c>
    </row>
    <row r="616" spans="1:17">
      <c r="A616" s="11">
        <f t="shared" si="9"/>
        <v>615</v>
      </c>
      <c r="B616" s="11">
        <v>8010072745</v>
      </c>
      <c r="C616" s="25" t="s">
        <v>720</v>
      </c>
      <c r="D616" s="27">
        <v>27400</v>
      </c>
      <c r="E616" s="11">
        <v>0.51</v>
      </c>
      <c r="F616" s="11" t="s">
        <v>11</v>
      </c>
      <c r="G616" s="44">
        <v>13974</v>
      </c>
      <c r="H616" s="28">
        <v>12589.189189189188</v>
      </c>
      <c r="I616" s="19" t="s">
        <v>654</v>
      </c>
      <c r="J616" s="19" t="s">
        <v>655</v>
      </c>
      <c r="K616" s="32" t="s">
        <v>656</v>
      </c>
      <c r="L616" s="22"/>
      <c r="M616" s="22"/>
      <c r="N616" s="22"/>
      <c r="O616" s="20" t="s">
        <v>15</v>
      </c>
      <c r="P616" s="25" t="s">
        <v>16</v>
      </c>
      <c r="Q616" s="16">
        <v>2958465</v>
      </c>
    </row>
    <row r="617" spans="1:17">
      <c r="A617" s="11">
        <f t="shared" si="9"/>
        <v>616</v>
      </c>
      <c r="B617" s="11">
        <v>8010072746</v>
      </c>
      <c r="C617" s="25" t="s">
        <v>721</v>
      </c>
      <c r="D617" s="27">
        <v>21100</v>
      </c>
      <c r="E617" s="11">
        <v>0.51</v>
      </c>
      <c r="F617" s="11" t="s">
        <v>11</v>
      </c>
      <c r="G617" s="44">
        <v>10761</v>
      </c>
      <c r="H617" s="28">
        <v>9694.5945945945932</v>
      </c>
      <c r="I617" s="19" t="s">
        <v>654</v>
      </c>
      <c r="J617" s="19" t="s">
        <v>655</v>
      </c>
      <c r="K617" s="32" t="s">
        <v>656</v>
      </c>
      <c r="L617" s="22"/>
      <c r="M617" s="22"/>
      <c r="N617" s="22"/>
      <c r="O617" s="20" t="s">
        <v>15</v>
      </c>
      <c r="P617" s="25" t="s">
        <v>16</v>
      </c>
      <c r="Q617" s="16">
        <v>2958465</v>
      </c>
    </row>
    <row r="618" spans="1:17">
      <c r="A618" s="11">
        <f t="shared" si="9"/>
        <v>617</v>
      </c>
      <c r="B618" s="11">
        <v>8010072747</v>
      </c>
      <c r="C618" s="25" t="s">
        <v>722</v>
      </c>
      <c r="D618" s="27">
        <v>26000</v>
      </c>
      <c r="E618" s="11">
        <v>0.51</v>
      </c>
      <c r="F618" s="11" t="s">
        <v>11</v>
      </c>
      <c r="G618" s="44">
        <v>13260</v>
      </c>
      <c r="H618" s="28">
        <v>11945.945945945945</v>
      </c>
      <c r="I618" s="19" t="s">
        <v>654</v>
      </c>
      <c r="J618" s="19" t="s">
        <v>655</v>
      </c>
      <c r="K618" s="32" t="s">
        <v>656</v>
      </c>
      <c r="L618" s="22"/>
      <c r="M618" s="22"/>
      <c r="N618" s="22"/>
      <c r="O618" s="20" t="s">
        <v>15</v>
      </c>
      <c r="P618" s="25" t="s">
        <v>16</v>
      </c>
      <c r="Q618" s="16">
        <v>2958465</v>
      </c>
    </row>
    <row r="619" spans="1:17">
      <c r="A619" s="11">
        <f t="shared" si="9"/>
        <v>618</v>
      </c>
      <c r="B619" s="11">
        <v>8010072748</v>
      </c>
      <c r="C619" s="25" t="s">
        <v>723</v>
      </c>
      <c r="D619" s="27">
        <v>63000</v>
      </c>
      <c r="E619" s="11">
        <v>0.51</v>
      </c>
      <c r="F619" s="11" t="s">
        <v>11</v>
      </c>
      <c r="G619" s="44">
        <v>32130</v>
      </c>
      <c r="H619" s="28">
        <v>28945.945945945943</v>
      </c>
      <c r="I619" s="19" t="s">
        <v>654</v>
      </c>
      <c r="J619" s="19" t="s">
        <v>655</v>
      </c>
      <c r="K619" s="32" t="s">
        <v>656</v>
      </c>
      <c r="L619" s="22"/>
      <c r="M619" s="22"/>
      <c r="N619" s="22"/>
      <c r="O619" s="20" t="s">
        <v>15</v>
      </c>
      <c r="P619" s="25" t="s">
        <v>16</v>
      </c>
      <c r="Q619" s="16">
        <v>2958465</v>
      </c>
    </row>
    <row r="620" spans="1:17">
      <c r="A620" s="11">
        <f t="shared" si="9"/>
        <v>619</v>
      </c>
      <c r="B620" s="11">
        <v>8010072749</v>
      </c>
      <c r="C620" s="25" t="s">
        <v>724</v>
      </c>
      <c r="D620" s="27">
        <v>136400</v>
      </c>
      <c r="E620" s="11">
        <v>0.51</v>
      </c>
      <c r="F620" s="11" t="s">
        <v>11</v>
      </c>
      <c r="G620" s="44">
        <v>69564</v>
      </c>
      <c r="H620" s="28">
        <v>62670.270270270266</v>
      </c>
      <c r="I620" s="19" t="s">
        <v>654</v>
      </c>
      <c r="J620" s="19" t="s">
        <v>655</v>
      </c>
      <c r="K620" s="32" t="s">
        <v>656</v>
      </c>
      <c r="L620" s="22"/>
      <c r="M620" s="22"/>
      <c r="N620" s="22"/>
      <c r="O620" s="20" t="s">
        <v>15</v>
      </c>
      <c r="P620" s="25" t="s">
        <v>16</v>
      </c>
      <c r="Q620" s="16">
        <v>2958465</v>
      </c>
    </row>
    <row r="621" spans="1:17">
      <c r="A621" s="11">
        <f t="shared" si="9"/>
        <v>620</v>
      </c>
      <c r="B621" s="11">
        <v>8010072751</v>
      </c>
      <c r="C621" s="25" t="s">
        <v>725</v>
      </c>
      <c r="D621" s="27">
        <v>36900</v>
      </c>
      <c r="E621" s="11">
        <v>0.51</v>
      </c>
      <c r="F621" s="11" t="s">
        <v>11</v>
      </c>
      <c r="G621" s="44">
        <v>18819</v>
      </c>
      <c r="H621" s="28">
        <v>16954.054054054053</v>
      </c>
      <c r="I621" s="19" t="s">
        <v>654</v>
      </c>
      <c r="J621" s="19" t="s">
        <v>655</v>
      </c>
      <c r="K621" s="32" t="s">
        <v>656</v>
      </c>
      <c r="L621" s="22"/>
      <c r="M621" s="22"/>
      <c r="N621" s="22"/>
      <c r="O621" s="20" t="s">
        <v>15</v>
      </c>
      <c r="P621" s="25" t="s">
        <v>16</v>
      </c>
      <c r="Q621" s="16">
        <v>2958465</v>
      </c>
    </row>
    <row r="622" spans="1:17">
      <c r="A622" s="11">
        <f t="shared" si="9"/>
        <v>621</v>
      </c>
      <c r="B622" s="11">
        <v>8010072752</v>
      </c>
      <c r="C622" s="25" t="s">
        <v>726</v>
      </c>
      <c r="D622" s="27">
        <v>30900</v>
      </c>
      <c r="E622" s="11">
        <v>0.51</v>
      </c>
      <c r="F622" s="11" t="s">
        <v>11</v>
      </c>
      <c r="G622" s="44">
        <v>15759</v>
      </c>
      <c r="H622" s="28">
        <v>14197.297297297297</v>
      </c>
      <c r="I622" s="19" t="s">
        <v>654</v>
      </c>
      <c r="J622" s="19" t="s">
        <v>655</v>
      </c>
      <c r="K622" s="32" t="s">
        <v>656</v>
      </c>
      <c r="L622" s="22"/>
      <c r="M622" s="22"/>
      <c r="N622" s="22"/>
      <c r="O622" s="20" t="s">
        <v>15</v>
      </c>
      <c r="P622" s="25" t="s">
        <v>16</v>
      </c>
      <c r="Q622" s="16">
        <v>2958465</v>
      </c>
    </row>
    <row r="623" spans="1:17">
      <c r="A623" s="11">
        <f t="shared" si="9"/>
        <v>622</v>
      </c>
      <c r="B623" s="11">
        <v>8010072753</v>
      </c>
      <c r="C623" s="25" t="s">
        <v>727</v>
      </c>
      <c r="D623" s="27">
        <v>38800</v>
      </c>
      <c r="E623" s="11">
        <v>0.51</v>
      </c>
      <c r="F623" s="11" t="s">
        <v>11</v>
      </c>
      <c r="G623" s="44">
        <v>19788</v>
      </c>
      <c r="H623" s="28">
        <v>17827.027027027027</v>
      </c>
      <c r="I623" s="19" t="s">
        <v>654</v>
      </c>
      <c r="J623" s="19" t="s">
        <v>655</v>
      </c>
      <c r="K623" s="32" t="s">
        <v>656</v>
      </c>
      <c r="L623" s="22"/>
      <c r="M623" s="22"/>
      <c r="N623" s="22"/>
      <c r="O623" s="20" t="s">
        <v>15</v>
      </c>
      <c r="P623" s="25" t="s">
        <v>16</v>
      </c>
      <c r="Q623" s="16">
        <v>2958465</v>
      </c>
    </row>
    <row r="624" spans="1:17">
      <c r="A624" s="11">
        <f t="shared" si="9"/>
        <v>623</v>
      </c>
      <c r="B624" s="11">
        <v>8010072754</v>
      </c>
      <c r="C624" s="25" t="s">
        <v>728</v>
      </c>
      <c r="D624" s="27">
        <v>74550</v>
      </c>
      <c r="E624" s="11">
        <v>0.51</v>
      </c>
      <c r="F624" s="11" t="s">
        <v>11</v>
      </c>
      <c r="G624" s="44">
        <v>38021</v>
      </c>
      <c r="H624" s="28">
        <v>34253.153153153151</v>
      </c>
      <c r="I624" s="19" t="s">
        <v>654</v>
      </c>
      <c r="J624" s="19" t="s">
        <v>655</v>
      </c>
      <c r="K624" s="32" t="s">
        <v>656</v>
      </c>
      <c r="L624" s="22"/>
      <c r="M624" s="22"/>
      <c r="N624" s="22"/>
      <c r="O624" s="20" t="s">
        <v>15</v>
      </c>
      <c r="P624" s="25" t="s">
        <v>16</v>
      </c>
      <c r="Q624" s="16">
        <v>2958465</v>
      </c>
    </row>
    <row r="625" spans="1:17">
      <c r="A625" s="11">
        <f t="shared" si="9"/>
        <v>624</v>
      </c>
      <c r="B625" s="11">
        <v>8010072755</v>
      </c>
      <c r="C625" s="25" t="s">
        <v>729</v>
      </c>
      <c r="D625" s="27">
        <v>195200</v>
      </c>
      <c r="E625" s="11">
        <v>0.51</v>
      </c>
      <c r="F625" s="11" t="s">
        <v>11</v>
      </c>
      <c r="G625" s="44">
        <v>99552</v>
      </c>
      <c r="H625" s="28">
        <v>89686.486486486479</v>
      </c>
      <c r="I625" s="19" t="s">
        <v>654</v>
      </c>
      <c r="J625" s="19" t="s">
        <v>655</v>
      </c>
      <c r="K625" s="32" t="s">
        <v>656</v>
      </c>
      <c r="L625" s="22"/>
      <c r="M625" s="22"/>
      <c r="N625" s="22"/>
      <c r="O625" s="20" t="s">
        <v>15</v>
      </c>
      <c r="P625" s="25" t="s">
        <v>16</v>
      </c>
      <c r="Q625" s="16">
        <v>2958465</v>
      </c>
    </row>
    <row r="626" spans="1:17">
      <c r="A626" s="11">
        <f t="shared" si="9"/>
        <v>625</v>
      </c>
      <c r="B626" s="11">
        <v>8010072756</v>
      </c>
      <c r="C626" s="25" t="s">
        <v>967</v>
      </c>
      <c r="D626" s="27">
        <v>3150</v>
      </c>
      <c r="E626" s="11">
        <v>0.43</v>
      </c>
      <c r="F626" s="11" t="s">
        <v>11</v>
      </c>
      <c r="G626" s="44">
        <v>1355</v>
      </c>
      <c r="H626" s="28">
        <v>1220.7207207207207</v>
      </c>
      <c r="I626" s="19" t="s">
        <v>654</v>
      </c>
      <c r="J626" s="19" t="s">
        <v>655</v>
      </c>
      <c r="K626" s="32" t="s">
        <v>834</v>
      </c>
      <c r="L626" s="22"/>
      <c r="M626" s="22"/>
      <c r="N626" s="22"/>
      <c r="O626" s="20" t="s">
        <v>15</v>
      </c>
      <c r="P626" s="25" t="s">
        <v>16</v>
      </c>
      <c r="Q626" s="16">
        <v>2958465</v>
      </c>
    </row>
    <row r="627" spans="1:17">
      <c r="A627" s="11">
        <f t="shared" si="9"/>
        <v>626</v>
      </c>
      <c r="B627" s="11">
        <v>8010072757</v>
      </c>
      <c r="C627" s="25" t="s">
        <v>968</v>
      </c>
      <c r="D627" s="27">
        <v>4200</v>
      </c>
      <c r="E627" s="11">
        <v>0.43</v>
      </c>
      <c r="F627" s="11" t="s">
        <v>11</v>
      </c>
      <c r="G627" s="44">
        <v>1806</v>
      </c>
      <c r="H627" s="28">
        <v>1627.0270270270269</v>
      </c>
      <c r="I627" s="19" t="s">
        <v>654</v>
      </c>
      <c r="J627" s="19" t="s">
        <v>655</v>
      </c>
      <c r="K627" s="32" t="s">
        <v>834</v>
      </c>
      <c r="L627" s="22"/>
      <c r="M627" s="22"/>
      <c r="N627" s="22"/>
      <c r="O627" s="20" t="s">
        <v>15</v>
      </c>
      <c r="P627" s="25" t="s">
        <v>16</v>
      </c>
      <c r="Q627" s="16">
        <v>2958465</v>
      </c>
    </row>
    <row r="628" spans="1:17">
      <c r="A628" s="11">
        <f t="shared" si="9"/>
        <v>627</v>
      </c>
      <c r="B628" s="11">
        <v>8010072758</v>
      </c>
      <c r="C628" s="25" t="s">
        <v>969</v>
      </c>
      <c r="D628" s="27">
        <v>4400</v>
      </c>
      <c r="E628" s="11">
        <v>0.43</v>
      </c>
      <c r="F628" s="11" t="s">
        <v>11</v>
      </c>
      <c r="G628" s="44">
        <v>1892</v>
      </c>
      <c r="H628" s="28">
        <v>1704.5045045045044</v>
      </c>
      <c r="I628" s="19" t="s">
        <v>654</v>
      </c>
      <c r="J628" s="19" t="s">
        <v>655</v>
      </c>
      <c r="K628" s="32" t="s">
        <v>834</v>
      </c>
      <c r="L628" s="22"/>
      <c r="M628" s="22"/>
      <c r="N628" s="22"/>
      <c r="O628" s="20" t="s">
        <v>15</v>
      </c>
      <c r="P628" s="25" t="s">
        <v>16</v>
      </c>
      <c r="Q628" s="16">
        <v>2958465</v>
      </c>
    </row>
    <row r="629" spans="1:17">
      <c r="A629" s="11">
        <f t="shared" si="9"/>
        <v>628</v>
      </c>
      <c r="B629" s="11">
        <v>8010072759</v>
      </c>
      <c r="C629" s="25" t="s">
        <v>970</v>
      </c>
      <c r="D629" s="27">
        <v>2100</v>
      </c>
      <c r="E629" s="11">
        <v>0.43</v>
      </c>
      <c r="F629" s="11" t="s">
        <v>11</v>
      </c>
      <c r="G629" s="44">
        <v>903</v>
      </c>
      <c r="H629" s="28">
        <v>813.51351351351343</v>
      </c>
      <c r="I629" s="19" t="s">
        <v>654</v>
      </c>
      <c r="J629" s="19" t="s">
        <v>655</v>
      </c>
      <c r="K629" s="32" t="s">
        <v>834</v>
      </c>
      <c r="L629" s="22"/>
      <c r="M629" s="22"/>
      <c r="N629" s="22"/>
      <c r="O629" s="20" t="s">
        <v>15</v>
      </c>
      <c r="P629" s="25" t="s">
        <v>16</v>
      </c>
      <c r="Q629" s="16">
        <v>2958465</v>
      </c>
    </row>
    <row r="630" spans="1:17">
      <c r="A630" s="11">
        <f t="shared" si="9"/>
        <v>629</v>
      </c>
      <c r="B630" s="11">
        <v>8010072760</v>
      </c>
      <c r="C630" s="25" t="s">
        <v>730</v>
      </c>
      <c r="D630" s="27">
        <v>947500</v>
      </c>
      <c r="E630" s="11">
        <v>0.51</v>
      </c>
      <c r="F630" s="11" t="s">
        <v>11</v>
      </c>
      <c r="G630" s="44">
        <v>483225</v>
      </c>
      <c r="H630" s="28">
        <v>435337.83783783781</v>
      </c>
      <c r="I630" s="19" t="s">
        <v>654</v>
      </c>
      <c r="J630" s="19" t="s">
        <v>655</v>
      </c>
      <c r="K630" s="32" t="s">
        <v>656</v>
      </c>
      <c r="L630" s="22"/>
      <c r="M630" s="22"/>
      <c r="N630" s="22"/>
      <c r="O630" s="20" t="s">
        <v>15</v>
      </c>
      <c r="P630" s="25" t="s">
        <v>16</v>
      </c>
      <c r="Q630" s="16">
        <v>2958465</v>
      </c>
    </row>
    <row r="631" spans="1:17">
      <c r="A631" s="11">
        <f t="shared" si="9"/>
        <v>630</v>
      </c>
      <c r="B631" s="11">
        <v>8010072761</v>
      </c>
      <c r="C631" s="25" t="s">
        <v>790</v>
      </c>
      <c r="D631" s="27">
        <v>867500</v>
      </c>
      <c r="E631" s="11">
        <v>0.51</v>
      </c>
      <c r="F631" s="11" t="s">
        <v>11</v>
      </c>
      <c r="G631" s="44">
        <v>442425</v>
      </c>
      <c r="H631" s="28">
        <v>398581.08108108107</v>
      </c>
      <c r="I631" s="19" t="s">
        <v>654</v>
      </c>
      <c r="J631" s="19" t="s">
        <v>655</v>
      </c>
      <c r="K631" s="32" t="s">
        <v>656</v>
      </c>
      <c r="L631" s="22"/>
      <c r="M631" s="22"/>
      <c r="N631" s="22"/>
      <c r="O631" s="20" t="s">
        <v>15</v>
      </c>
      <c r="P631" s="25" t="s">
        <v>16</v>
      </c>
      <c r="Q631" s="16">
        <v>2958465</v>
      </c>
    </row>
    <row r="632" spans="1:17">
      <c r="A632" s="11">
        <f t="shared" si="9"/>
        <v>631</v>
      </c>
      <c r="B632" s="11">
        <v>8010072762</v>
      </c>
      <c r="C632" s="25" t="s">
        <v>791</v>
      </c>
      <c r="D632" s="27">
        <v>1435400</v>
      </c>
      <c r="E632" s="11">
        <v>0.51</v>
      </c>
      <c r="F632" s="11" t="s">
        <v>11</v>
      </c>
      <c r="G632" s="44">
        <v>732054</v>
      </c>
      <c r="H632" s="28">
        <v>659508.10810810805</v>
      </c>
      <c r="I632" s="19" t="s">
        <v>654</v>
      </c>
      <c r="J632" s="19" t="s">
        <v>655</v>
      </c>
      <c r="K632" s="32" t="s">
        <v>656</v>
      </c>
      <c r="L632" s="22"/>
      <c r="M632" s="22"/>
      <c r="N632" s="22"/>
      <c r="O632" s="20" t="s">
        <v>15</v>
      </c>
      <c r="P632" s="25" t="s">
        <v>16</v>
      </c>
      <c r="Q632" s="16">
        <v>2958465</v>
      </c>
    </row>
    <row r="633" spans="1:17">
      <c r="A633" s="11">
        <f t="shared" si="9"/>
        <v>632</v>
      </c>
      <c r="B633" s="11">
        <v>8010072763</v>
      </c>
      <c r="C633" s="25" t="s">
        <v>792</v>
      </c>
      <c r="D633" s="27">
        <v>1235200</v>
      </c>
      <c r="E633" s="11">
        <v>0.51</v>
      </c>
      <c r="F633" s="11" t="s">
        <v>11</v>
      </c>
      <c r="G633" s="44">
        <v>629952</v>
      </c>
      <c r="H633" s="28">
        <v>567524.32432432426</v>
      </c>
      <c r="I633" s="19" t="s">
        <v>654</v>
      </c>
      <c r="J633" s="19" t="s">
        <v>655</v>
      </c>
      <c r="K633" s="32" t="s">
        <v>656</v>
      </c>
      <c r="L633" s="22"/>
      <c r="M633" s="22"/>
      <c r="N633" s="22"/>
      <c r="O633" s="20" t="s">
        <v>15</v>
      </c>
      <c r="P633" s="25" t="s">
        <v>16</v>
      </c>
      <c r="Q633" s="16">
        <v>2958465</v>
      </c>
    </row>
    <row r="634" spans="1:17">
      <c r="A634" s="11">
        <f t="shared" si="9"/>
        <v>633</v>
      </c>
      <c r="B634" s="11">
        <v>8010072764</v>
      </c>
      <c r="C634" s="25" t="s">
        <v>793</v>
      </c>
      <c r="D634" s="27">
        <v>56900</v>
      </c>
      <c r="E634" s="11">
        <v>0.51</v>
      </c>
      <c r="F634" s="11" t="s">
        <v>11</v>
      </c>
      <c r="G634" s="44">
        <v>29019</v>
      </c>
      <c r="H634" s="28">
        <v>26143.24324324324</v>
      </c>
      <c r="I634" s="19" t="s">
        <v>654</v>
      </c>
      <c r="J634" s="19" t="s">
        <v>655</v>
      </c>
      <c r="K634" s="32" t="s">
        <v>656</v>
      </c>
      <c r="L634" s="22"/>
      <c r="M634" s="22"/>
      <c r="N634" s="22"/>
      <c r="O634" s="20" t="s">
        <v>15</v>
      </c>
      <c r="P634" s="25" t="s">
        <v>16</v>
      </c>
      <c r="Q634" s="16">
        <v>2958465</v>
      </c>
    </row>
    <row r="635" spans="1:17">
      <c r="A635" s="11">
        <f t="shared" si="9"/>
        <v>634</v>
      </c>
      <c r="B635" s="11">
        <v>8010072765</v>
      </c>
      <c r="C635" s="25" t="s">
        <v>794</v>
      </c>
      <c r="D635" s="27">
        <v>58200</v>
      </c>
      <c r="E635" s="11">
        <v>0.51</v>
      </c>
      <c r="F635" s="11" t="s">
        <v>11</v>
      </c>
      <c r="G635" s="44">
        <v>29682</v>
      </c>
      <c r="H635" s="28">
        <v>26740.54054054054</v>
      </c>
      <c r="I635" s="19" t="s">
        <v>654</v>
      </c>
      <c r="J635" s="19" t="s">
        <v>655</v>
      </c>
      <c r="K635" s="32" t="s">
        <v>656</v>
      </c>
      <c r="L635" s="22"/>
      <c r="M635" s="22"/>
      <c r="N635" s="22"/>
      <c r="O635" s="20" t="s">
        <v>15</v>
      </c>
      <c r="P635" s="25" t="s">
        <v>16</v>
      </c>
      <c r="Q635" s="16">
        <v>2958465</v>
      </c>
    </row>
    <row r="636" spans="1:17">
      <c r="A636" s="11">
        <f t="shared" si="9"/>
        <v>635</v>
      </c>
      <c r="B636" s="11">
        <v>8010072766</v>
      </c>
      <c r="C636" s="25" t="s">
        <v>795</v>
      </c>
      <c r="D636" s="27">
        <v>73800</v>
      </c>
      <c r="E636" s="11">
        <v>0.51</v>
      </c>
      <c r="F636" s="11" t="s">
        <v>11</v>
      </c>
      <c r="G636" s="44">
        <v>37638</v>
      </c>
      <c r="H636" s="28">
        <v>33908.108108108107</v>
      </c>
      <c r="I636" s="19" t="s">
        <v>654</v>
      </c>
      <c r="J636" s="19" t="s">
        <v>655</v>
      </c>
      <c r="K636" s="32" t="s">
        <v>656</v>
      </c>
      <c r="L636" s="22"/>
      <c r="M636" s="22"/>
      <c r="N636" s="22"/>
      <c r="O636" s="20" t="s">
        <v>15</v>
      </c>
      <c r="P636" s="25" t="s">
        <v>16</v>
      </c>
      <c r="Q636" s="16">
        <v>2958465</v>
      </c>
    </row>
    <row r="637" spans="1:17">
      <c r="A637" s="11">
        <f t="shared" si="9"/>
        <v>636</v>
      </c>
      <c r="B637" s="11">
        <v>8010072767</v>
      </c>
      <c r="C637" s="25" t="s">
        <v>796</v>
      </c>
      <c r="D637" s="27">
        <v>178300</v>
      </c>
      <c r="E637" s="11">
        <v>0.51</v>
      </c>
      <c r="F637" s="11" t="s">
        <v>11</v>
      </c>
      <c r="G637" s="44">
        <v>90933</v>
      </c>
      <c r="H637" s="28">
        <v>81921.621621621613</v>
      </c>
      <c r="I637" s="19" t="s">
        <v>654</v>
      </c>
      <c r="J637" s="19" t="s">
        <v>655</v>
      </c>
      <c r="K637" s="32" t="s">
        <v>656</v>
      </c>
      <c r="L637" s="22"/>
      <c r="M637" s="22"/>
      <c r="N637" s="22"/>
      <c r="O637" s="20" t="s">
        <v>15</v>
      </c>
      <c r="P637" s="25" t="s">
        <v>16</v>
      </c>
      <c r="Q637" s="16">
        <v>2958465</v>
      </c>
    </row>
    <row r="638" spans="1:17">
      <c r="A638" s="11">
        <f t="shared" si="9"/>
        <v>637</v>
      </c>
      <c r="B638" s="11">
        <v>8010072768</v>
      </c>
      <c r="C638" s="25" t="s">
        <v>797</v>
      </c>
      <c r="D638" s="27">
        <v>230800</v>
      </c>
      <c r="E638" s="11">
        <v>0.51</v>
      </c>
      <c r="F638" s="11" t="s">
        <v>11</v>
      </c>
      <c r="G638" s="44">
        <v>117708</v>
      </c>
      <c r="H638" s="28">
        <v>106043.24324324324</v>
      </c>
      <c r="I638" s="19" t="s">
        <v>654</v>
      </c>
      <c r="J638" s="19" t="s">
        <v>655</v>
      </c>
      <c r="K638" s="32" t="s">
        <v>656</v>
      </c>
      <c r="L638" s="22"/>
      <c r="M638" s="22"/>
      <c r="N638" s="22"/>
      <c r="O638" s="20" t="s">
        <v>15</v>
      </c>
      <c r="P638" s="25" t="s">
        <v>16</v>
      </c>
      <c r="Q638" s="16">
        <v>2958465</v>
      </c>
    </row>
    <row r="639" spans="1:17">
      <c r="A639" s="11">
        <f t="shared" si="9"/>
        <v>638</v>
      </c>
      <c r="B639" s="11">
        <v>8010072769</v>
      </c>
      <c r="C639" s="25" t="s">
        <v>798</v>
      </c>
      <c r="D639" s="27">
        <v>414000</v>
      </c>
      <c r="E639" s="11">
        <v>0.51</v>
      </c>
      <c r="F639" s="11" t="s">
        <v>11</v>
      </c>
      <c r="G639" s="44">
        <v>211140</v>
      </c>
      <c r="H639" s="28">
        <v>190216.21621621621</v>
      </c>
      <c r="I639" s="19" t="s">
        <v>654</v>
      </c>
      <c r="J639" s="19" t="s">
        <v>655</v>
      </c>
      <c r="K639" s="32" t="s">
        <v>656</v>
      </c>
      <c r="L639" s="22"/>
      <c r="M639" s="22"/>
      <c r="N639" s="22"/>
      <c r="O639" s="20" t="s">
        <v>15</v>
      </c>
      <c r="P639" s="25" t="s">
        <v>16</v>
      </c>
      <c r="Q639" s="16">
        <v>2958465</v>
      </c>
    </row>
    <row r="640" spans="1:17">
      <c r="A640" s="11">
        <f t="shared" si="9"/>
        <v>639</v>
      </c>
      <c r="B640" s="11">
        <v>8010072770</v>
      </c>
      <c r="C640" s="25" t="s">
        <v>799</v>
      </c>
      <c r="D640" s="27">
        <v>866800</v>
      </c>
      <c r="E640" s="11">
        <v>0.51</v>
      </c>
      <c r="F640" s="11" t="s">
        <v>11</v>
      </c>
      <c r="G640" s="44">
        <v>442068</v>
      </c>
      <c r="H640" s="28">
        <v>398259.45945945941</v>
      </c>
      <c r="I640" s="19" t="s">
        <v>654</v>
      </c>
      <c r="J640" s="19" t="s">
        <v>655</v>
      </c>
      <c r="K640" s="32" t="s">
        <v>656</v>
      </c>
      <c r="L640" s="22"/>
      <c r="M640" s="22"/>
      <c r="N640" s="22"/>
      <c r="O640" s="20" t="s">
        <v>15</v>
      </c>
      <c r="P640" s="25" t="s">
        <v>16</v>
      </c>
      <c r="Q640" s="16">
        <v>2958465</v>
      </c>
    </row>
    <row r="641" spans="1:17">
      <c r="A641" s="11">
        <f t="shared" si="9"/>
        <v>640</v>
      </c>
      <c r="B641" s="11">
        <v>8010072771</v>
      </c>
      <c r="C641" s="25" t="s">
        <v>800</v>
      </c>
      <c r="D641" s="27">
        <v>72600</v>
      </c>
      <c r="E641" s="11">
        <v>0.51</v>
      </c>
      <c r="F641" s="11" t="s">
        <v>11</v>
      </c>
      <c r="G641" s="44">
        <v>37026</v>
      </c>
      <c r="H641" s="28">
        <v>33356.756756756753</v>
      </c>
      <c r="I641" s="19" t="s">
        <v>654</v>
      </c>
      <c r="J641" s="19" t="s">
        <v>655</v>
      </c>
      <c r="K641" s="32" t="s">
        <v>656</v>
      </c>
      <c r="L641" s="22"/>
      <c r="M641" s="22"/>
      <c r="N641" s="22"/>
      <c r="O641" s="20" t="s">
        <v>15</v>
      </c>
      <c r="P641" s="25" t="s">
        <v>16</v>
      </c>
      <c r="Q641" s="16">
        <v>2958465</v>
      </c>
    </row>
    <row r="642" spans="1:17">
      <c r="A642" s="11">
        <f t="shared" si="9"/>
        <v>641</v>
      </c>
      <c r="B642" s="11">
        <v>8010072772</v>
      </c>
      <c r="C642" s="25" t="s">
        <v>801</v>
      </c>
      <c r="D642" s="27">
        <v>118800</v>
      </c>
      <c r="E642" s="11">
        <v>0.51</v>
      </c>
      <c r="F642" s="11" t="s">
        <v>11</v>
      </c>
      <c r="G642" s="44">
        <v>60588</v>
      </c>
      <c r="H642" s="28">
        <v>54583.78378378378</v>
      </c>
      <c r="I642" s="19" t="s">
        <v>654</v>
      </c>
      <c r="J642" s="19" t="s">
        <v>655</v>
      </c>
      <c r="K642" s="32" t="s">
        <v>656</v>
      </c>
      <c r="L642" s="22"/>
      <c r="M642" s="22"/>
      <c r="N642" s="22"/>
      <c r="O642" s="20" t="s">
        <v>15</v>
      </c>
      <c r="P642" s="25" t="s">
        <v>16</v>
      </c>
      <c r="Q642" s="16">
        <v>2958465</v>
      </c>
    </row>
    <row r="643" spans="1:17">
      <c r="A643" s="11">
        <f t="shared" si="9"/>
        <v>642</v>
      </c>
      <c r="B643" s="11">
        <v>8010072773</v>
      </c>
      <c r="C643" s="25" t="s">
        <v>802</v>
      </c>
      <c r="D643" s="27">
        <v>144500</v>
      </c>
      <c r="E643" s="11">
        <v>0.51</v>
      </c>
      <c r="F643" s="11" t="s">
        <v>11</v>
      </c>
      <c r="G643" s="44">
        <v>73695</v>
      </c>
      <c r="H643" s="28">
        <v>66391.891891891879</v>
      </c>
      <c r="I643" s="19" t="s">
        <v>654</v>
      </c>
      <c r="J643" s="19" t="s">
        <v>655</v>
      </c>
      <c r="K643" s="32" t="s">
        <v>656</v>
      </c>
      <c r="L643" s="22"/>
      <c r="M643" s="22"/>
      <c r="N643" s="22"/>
      <c r="O643" s="20" t="s">
        <v>15</v>
      </c>
      <c r="P643" s="25" t="s">
        <v>16</v>
      </c>
      <c r="Q643" s="16">
        <v>2958465</v>
      </c>
    </row>
    <row r="644" spans="1:17">
      <c r="A644" s="11">
        <f t="shared" si="9"/>
        <v>643</v>
      </c>
      <c r="B644" s="11">
        <v>8010072774</v>
      </c>
      <c r="C644" s="25" t="s">
        <v>803</v>
      </c>
      <c r="D644" s="27">
        <v>219500</v>
      </c>
      <c r="E644" s="11">
        <v>0.51</v>
      </c>
      <c r="F644" s="11" t="s">
        <v>11</v>
      </c>
      <c r="G644" s="44">
        <v>111945</v>
      </c>
      <c r="H644" s="28">
        <v>100851.35135135135</v>
      </c>
      <c r="I644" s="19" t="s">
        <v>654</v>
      </c>
      <c r="J644" s="19" t="s">
        <v>655</v>
      </c>
      <c r="K644" s="32" t="s">
        <v>656</v>
      </c>
      <c r="L644" s="22"/>
      <c r="M644" s="22"/>
      <c r="N644" s="22"/>
      <c r="O644" s="20" t="s">
        <v>15</v>
      </c>
      <c r="P644" s="25" t="s">
        <v>16</v>
      </c>
      <c r="Q644" s="16">
        <v>2958465</v>
      </c>
    </row>
    <row r="645" spans="1:17">
      <c r="A645" s="11">
        <f t="shared" ref="A645:A708" si="10">ROW()-1</f>
        <v>644</v>
      </c>
      <c r="B645" s="11">
        <v>8010072775</v>
      </c>
      <c r="C645" s="25" t="s">
        <v>804</v>
      </c>
      <c r="D645" s="27">
        <v>140100</v>
      </c>
      <c r="E645" s="11">
        <v>0.51</v>
      </c>
      <c r="F645" s="11" t="s">
        <v>11</v>
      </c>
      <c r="G645" s="44">
        <v>71451</v>
      </c>
      <c r="H645" s="28">
        <v>64370.270270270266</v>
      </c>
      <c r="I645" s="19" t="s">
        <v>654</v>
      </c>
      <c r="J645" s="19" t="s">
        <v>655</v>
      </c>
      <c r="K645" s="32" t="s">
        <v>656</v>
      </c>
      <c r="L645" s="22"/>
      <c r="M645" s="22"/>
      <c r="N645" s="22"/>
      <c r="O645" s="20" t="s">
        <v>15</v>
      </c>
      <c r="P645" s="25" t="s">
        <v>16</v>
      </c>
      <c r="Q645" s="16">
        <v>2958465</v>
      </c>
    </row>
    <row r="646" spans="1:17">
      <c r="A646" s="11">
        <f t="shared" si="10"/>
        <v>645</v>
      </c>
      <c r="B646" s="11">
        <v>8010072776</v>
      </c>
      <c r="C646" s="25" t="s">
        <v>805</v>
      </c>
      <c r="D646" s="27">
        <v>274000</v>
      </c>
      <c r="E646" s="11">
        <v>0.51</v>
      </c>
      <c r="F646" s="11" t="s">
        <v>11</v>
      </c>
      <c r="G646" s="44">
        <v>139740</v>
      </c>
      <c r="H646" s="28">
        <v>125891.89189189188</v>
      </c>
      <c r="I646" s="19" t="s">
        <v>654</v>
      </c>
      <c r="J646" s="19" t="s">
        <v>655</v>
      </c>
      <c r="K646" s="32" t="s">
        <v>656</v>
      </c>
      <c r="L646" s="22"/>
      <c r="M646" s="22"/>
      <c r="N646" s="22"/>
      <c r="O646" s="20" t="s">
        <v>15</v>
      </c>
      <c r="P646" s="25" t="s">
        <v>16</v>
      </c>
      <c r="Q646" s="16">
        <v>2958465</v>
      </c>
    </row>
    <row r="647" spans="1:17">
      <c r="A647" s="11">
        <f t="shared" si="10"/>
        <v>646</v>
      </c>
      <c r="B647" s="11">
        <v>8010072777</v>
      </c>
      <c r="C647" s="25" t="s">
        <v>806</v>
      </c>
      <c r="D647" s="27">
        <v>234600</v>
      </c>
      <c r="E647" s="11">
        <v>0.51</v>
      </c>
      <c r="F647" s="11" t="s">
        <v>11</v>
      </c>
      <c r="G647" s="44">
        <v>119646</v>
      </c>
      <c r="H647" s="28">
        <v>107789.18918918919</v>
      </c>
      <c r="I647" s="19" t="s">
        <v>654</v>
      </c>
      <c r="J647" s="19" t="s">
        <v>655</v>
      </c>
      <c r="K647" s="32" t="s">
        <v>656</v>
      </c>
      <c r="L647" s="22"/>
      <c r="M647" s="22"/>
      <c r="N647" s="22"/>
      <c r="O647" s="20" t="s">
        <v>15</v>
      </c>
      <c r="P647" s="25" t="s">
        <v>16</v>
      </c>
      <c r="Q647" s="16">
        <v>2958465</v>
      </c>
    </row>
    <row r="648" spans="1:17">
      <c r="A648" s="11">
        <f t="shared" si="10"/>
        <v>647</v>
      </c>
      <c r="B648" s="11">
        <v>8010072778</v>
      </c>
      <c r="C648" s="25" t="s">
        <v>807</v>
      </c>
      <c r="D648" s="27">
        <v>297100</v>
      </c>
      <c r="E648" s="11">
        <v>0.51</v>
      </c>
      <c r="F648" s="11" t="s">
        <v>11</v>
      </c>
      <c r="G648" s="44">
        <v>151521</v>
      </c>
      <c r="H648" s="28">
        <v>136505.40540540538</v>
      </c>
      <c r="I648" s="19" t="s">
        <v>654</v>
      </c>
      <c r="J648" s="19" t="s">
        <v>655</v>
      </c>
      <c r="K648" s="32" t="s">
        <v>656</v>
      </c>
      <c r="L648" s="22"/>
      <c r="M648" s="22"/>
      <c r="N648" s="22"/>
      <c r="O648" s="20" t="s">
        <v>15</v>
      </c>
      <c r="P648" s="25" t="s">
        <v>16</v>
      </c>
      <c r="Q648" s="16">
        <v>2958465</v>
      </c>
    </row>
    <row r="649" spans="1:17">
      <c r="A649" s="11">
        <f t="shared" si="10"/>
        <v>648</v>
      </c>
      <c r="B649" s="11">
        <v>8010072779</v>
      </c>
      <c r="C649" s="25" t="s">
        <v>808</v>
      </c>
      <c r="D649" s="27">
        <v>424100</v>
      </c>
      <c r="E649" s="11">
        <v>0.51</v>
      </c>
      <c r="F649" s="11" t="s">
        <v>11</v>
      </c>
      <c r="G649" s="44">
        <v>216291</v>
      </c>
      <c r="H649" s="28">
        <v>194856.75675675675</v>
      </c>
      <c r="I649" s="19" t="s">
        <v>654</v>
      </c>
      <c r="J649" s="19" t="s">
        <v>655</v>
      </c>
      <c r="K649" s="32" t="s">
        <v>656</v>
      </c>
      <c r="L649" s="22"/>
      <c r="M649" s="22"/>
      <c r="N649" s="22"/>
      <c r="O649" s="20" t="s">
        <v>15</v>
      </c>
      <c r="P649" s="25" t="s">
        <v>16</v>
      </c>
      <c r="Q649" s="16">
        <v>2958465</v>
      </c>
    </row>
    <row r="650" spans="1:17">
      <c r="A650" s="11">
        <f t="shared" si="10"/>
        <v>649</v>
      </c>
      <c r="B650" s="11">
        <v>8010072780</v>
      </c>
      <c r="C650" s="25" t="s">
        <v>809</v>
      </c>
      <c r="D650" s="27">
        <v>891900</v>
      </c>
      <c r="E650" s="11">
        <v>0.51</v>
      </c>
      <c r="F650" s="11" t="s">
        <v>11</v>
      </c>
      <c r="G650" s="44">
        <v>454869</v>
      </c>
      <c r="H650" s="28">
        <v>409791.89189189184</v>
      </c>
      <c r="I650" s="19" t="s">
        <v>654</v>
      </c>
      <c r="J650" s="19" t="s">
        <v>655</v>
      </c>
      <c r="K650" s="32" t="s">
        <v>656</v>
      </c>
      <c r="L650" s="22"/>
      <c r="M650" s="22"/>
      <c r="N650" s="22"/>
      <c r="O650" s="20" t="s">
        <v>15</v>
      </c>
      <c r="P650" s="25" t="s">
        <v>16</v>
      </c>
      <c r="Q650" s="16">
        <v>2958465</v>
      </c>
    </row>
    <row r="651" spans="1:17">
      <c r="A651" s="11">
        <f t="shared" si="10"/>
        <v>650</v>
      </c>
      <c r="B651" s="11">
        <v>8010072781</v>
      </c>
      <c r="C651" s="25" t="s">
        <v>810</v>
      </c>
      <c r="D651" s="27">
        <v>286500</v>
      </c>
      <c r="E651" s="11">
        <v>0.51</v>
      </c>
      <c r="F651" s="11" t="s">
        <v>11</v>
      </c>
      <c r="G651" s="44">
        <v>146115</v>
      </c>
      <c r="H651" s="28">
        <v>131635.13513513512</v>
      </c>
      <c r="I651" s="19" t="s">
        <v>654</v>
      </c>
      <c r="J651" s="19" t="s">
        <v>655</v>
      </c>
      <c r="K651" s="32" t="s">
        <v>656</v>
      </c>
      <c r="L651" s="22"/>
      <c r="M651" s="22"/>
      <c r="N651" s="22"/>
      <c r="O651" s="20" t="s">
        <v>15</v>
      </c>
      <c r="P651" s="25" t="s">
        <v>16</v>
      </c>
      <c r="Q651" s="16">
        <v>2958465</v>
      </c>
    </row>
    <row r="652" spans="1:17">
      <c r="A652" s="11">
        <f t="shared" si="10"/>
        <v>651</v>
      </c>
      <c r="B652" s="11">
        <v>8010072782</v>
      </c>
      <c r="C652" s="25" t="s">
        <v>1051</v>
      </c>
      <c r="D652" s="27">
        <v>8100</v>
      </c>
      <c r="E652" s="11">
        <v>0.43</v>
      </c>
      <c r="F652" s="11" t="s">
        <v>11</v>
      </c>
      <c r="G652" s="44">
        <v>3483</v>
      </c>
      <c r="H652" s="28">
        <v>3137.8378378378375</v>
      </c>
      <c r="I652" s="19" t="s">
        <v>654</v>
      </c>
      <c r="J652" s="19" t="s">
        <v>655</v>
      </c>
      <c r="K652" s="32" t="s">
        <v>834</v>
      </c>
      <c r="L652" s="22"/>
      <c r="M652" s="22"/>
      <c r="N652" s="22"/>
      <c r="O652" s="20" t="s">
        <v>15</v>
      </c>
      <c r="P652" s="25" t="s">
        <v>16</v>
      </c>
      <c r="Q652" s="16">
        <v>2958465</v>
      </c>
    </row>
    <row r="653" spans="1:17">
      <c r="A653" s="11">
        <f t="shared" si="10"/>
        <v>652</v>
      </c>
      <c r="B653" s="11">
        <v>8010072783</v>
      </c>
      <c r="C653" s="25" t="s">
        <v>1050</v>
      </c>
      <c r="D653" s="27">
        <v>8700</v>
      </c>
      <c r="E653" s="11">
        <v>0.43</v>
      </c>
      <c r="F653" s="11" t="s">
        <v>11</v>
      </c>
      <c r="G653" s="44">
        <v>3741</v>
      </c>
      <c r="H653" s="28">
        <v>3370.27027027027</v>
      </c>
      <c r="I653" s="19" t="s">
        <v>654</v>
      </c>
      <c r="J653" s="19" t="s">
        <v>655</v>
      </c>
      <c r="K653" s="32" t="s">
        <v>834</v>
      </c>
      <c r="L653" s="22"/>
      <c r="M653" s="22"/>
      <c r="N653" s="22"/>
      <c r="O653" s="20" t="s">
        <v>15</v>
      </c>
      <c r="P653" s="25" t="s">
        <v>16</v>
      </c>
      <c r="Q653" s="16">
        <v>2958465</v>
      </c>
    </row>
    <row r="654" spans="1:17">
      <c r="A654" s="11">
        <f t="shared" si="10"/>
        <v>653</v>
      </c>
      <c r="B654" s="11">
        <v>8010072784</v>
      </c>
      <c r="C654" s="25" t="s">
        <v>1028</v>
      </c>
      <c r="D654" s="27">
        <v>15600</v>
      </c>
      <c r="E654" s="11">
        <v>0.43</v>
      </c>
      <c r="F654" s="11" t="s">
        <v>11</v>
      </c>
      <c r="G654" s="44">
        <v>6708</v>
      </c>
      <c r="H654" s="28">
        <v>6043.2432432432424</v>
      </c>
      <c r="I654" s="19" t="s">
        <v>654</v>
      </c>
      <c r="J654" s="19" t="s">
        <v>655</v>
      </c>
      <c r="K654" s="32" t="s">
        <v>834</v>
      </c>
      <c r="L654" s="22"/>
      <c r="M654" s="22"/>
      <c r="N654" s="22"/>
      <c r="O654" s="20" t="s">
        <v>15</v>
      </c>
      <c r="P654" s="25" t="s">
        <v>16</v>
      </c>
      <c r="Q654" s="16">
        <v>2958465</v>
      </c>
    </row>
    <row r="655" spans="1:17">
      <c r="A655" s="11">
        <f t="shared" si="10"/>
        <v>654</v>
      </c>
      <c r="B655" s="11">
        <v>8010072785</v>
      </c>
      <c r="C655" s="25" t="s">
        <v>1029</v>
      </c>
      <c r="D655" s="27">
        <v>17500</v>
      </c>
      <c r="E655" s="11">
        <v>0.43</v>
      </c>
      <c r="F655" s="11" t="s">
        <v>11</v>
      </c>
      <c r="G655" s="44">
        <v>7525</v>
      </c>
      <c r="H655" s="28">
        <v>6779.2792792792789</v>
      </c>
      <c r="I655" s="19" t="s">
        <v>654</v>
      </c>
      <c r="J655" s="19" t="s">
        <v>655</v>
      </c>
      <c r="K655" s="32" t="s">
        <v>834</v>
      </c>
      <c r="L655" s="22"/>
      <c r="M655" s="22"/>
      <c r="N655" s="22"/>
      <c r="O655" s="20" t="s">
        <v>15</v>
      </c>
      <c r="P655" s="25" t="s">
        <v>16</v>
      </c>
      <c r="Q655" s="16">
        <v>2958465</v>
      </c>
    </row>
    <row r="656" spans="1:17">
      <c r="A656" s="11">
        <f t="shared" si="10"/>
        <v>655</v>
      </c>
      <c r="B656" s="11">
        <v>8010072786</v>
      </c>
      <c r="C656" s="25" t="s">
        <v>1030</v>
      </c>
      <c r="D656" s="27">
        <v>26800</v>
      </c>
      <c r="E656" s="11">
        <v>0.43</v>
      </c>
      <c r="F656" s="11" t="s">
        <v>11</v>
      </c>
      <c r="G656" s="44">
        <v>11524</v>
      </c>
      <c r="H656" s="28">
        <v>10381.98198198198</v>
      </c>
      <c r="I656" s="19" t="s">
        <v>654</v>
      </c>
      <c r="J656" s="19" t="s">
        <v>655</v>
      </c>
      <c r="K656" s="32" t="s">
        <v>834</v>
      </c>
      <c r="L656" s="22"/>
      <c r="M656" s="22"/>
      <c r="N656" s="22"/>
      <c r="O656" s="20" t="s">
        <v>15</v>
      </c>
      <c r="P656" s="25" t="s">
        <v>16</v>
      </c>
      <c r="Q656" s="16">
        <v>2958465</v>
      </c>
    </row>
    <row r="657" spans="1:17">
      <c r="A657" s="11">
        <f t="shared" si="10"/>
        <v>656</v>
      </c>
      <c r="B657" s="11">
        <v>8010072787</v>
      </c>
      <c r="C657" s="25" t="s">
        <v>1031</v>
      </c>
      <c r="D657" s="27">
        <v>10600</v>
      </c>
      <c r="E657" s="11">
        <v>0.43</v>
      </c>
      <c r="F657" s="11" t="s">
        <v>11</v>
      </c>
      <c r="G657" s="44">
        <v>4558</v>
      </c>
      <c r="H657" s="28">
        <v>4106.3063063063064</v>
      </c>
      <c r="I657" s="19" t="s">
        <v>654</v>
      </c>
      <c r="J657" s="19" t="s">
        <v>655</v>
      </c>
      <c r="K657" s="32" t="s">
        <v>834</v>
      </c>
      <c r="L657" s="22"/>
      <c r="M657" s="22"/>
      <c r="N657" s="22"/>
      <c r="O657" s="20" t="s">
        <v>15</v>
      </c>
      <c r="P657" s="25" t="s">
        <v>16</v>
      </c>
      <c r="Q657" s="16">
        <v>2958465</v>
      </c>
    </row>
    <row r="658" spans="1:17">
      <c r="A658" s="11">
        <f t="shared" si="10"/>
        <v>657</v>
      </c>
      <c r="B658" s="11">
        <v>8010072788</v>
      </c>
      <c r="C658" s="25" t="s">
        <v>1032</v>
      </c>
      <c r="D658" s="27">
        <v>18700</v>
      </c>
      <c r="E658" s="11">
        <v>0.43</v>
      </c>
      <c r="F658" s="11" t="s">
        <v>11</v>
      </c>
      <c r="G658" s="44">
        <v>8041</v>
      </c>
      <c r="H658" s="28">
        <v>7244.1441441441439</v>
      </c>
      <c r="I658" s="19" t="s">
        <v>654</v>
      </c>
      <c r="J658" s="19" t="s">
        <v>655</v>
      </c>
      <c r="K658" s="32" t="s">
        <v>834</v>
      </c>
      <c r="L658" s="22"/>
      <c r="M658" s="22"/>
      <c r="N658" s="22"/>
      <c r="O658" s="20" t="s">
        <v>15</v>
      </c>
      <c r="P658" s="25" t="s">
        <v>16</v>
      </c>
      <c r="Q658" s="16">
        <v>2958465</v>
      </c>
    </row>
    <row r="659" spans="1:17">
      <c r="A659" s="11">
        <f t="shared" si="10"/>
        <v>658</v>
      </c>
      <c r="B659" s="11">
        <v>8010072789</v>
      </c>
      <c r="C659" s="25" t="s">
        <v>1033</v>
      </c>
      <c r="D659" s="27">
        <v>2500</v>
      </c>
      <c r="E659" s="11">
        <v>0.43</v>
      </c>
      <c r="F659" s="11" t="s">
        <v>11</v>
      </c>
      <c r="G659" s="44">
        <v>1075</v>
      </c>
      <c r="H659" s="28">
        <v>968.46846846846836</v>
      </c>
      <c r="I659" s="19" t="s">
        <v>654</v>
      </c>
      <c r="J659" s="19" t="s">
        <v>655</v>
      </c>
      <c r="K659" s="32" t="s">
        <v>834</v>
      </c>
      <c r="L659" s="22"/>
      <c r="M659" s="22"/>
      <c r="N659" s="22"/>
      <c r="O659" s="20" t="s">
        <v>15</v>
      </c>
      <c r="P659" s="25" t="s">
        <v>16</v>
      </c>
      <c r="Q659" s="16">
        <v>2958465</v>
      </c>
    </row>
    <row r="660" spans="1:17">
      <c r="A660" s="11">
        <f t="shared" si="10"/>
        <v>659</v>
      </c>
      <c r="B660" s="11">
        <v>8010072790</v>
      </c>
      <c r="C660" s="25" t="s">
        <v>1034</v>
      </c>
      <c r="D660" s="27">
        <v>5600</v>
      </c>
      <c r="E660" s="11">
        <v>0.43</v>
      </c>
      <c r="F660" s="11" t="s">
        <v>11</v>
      </c>
      <c r="G660" s="44">
        <v>2408</v>
      </c>
      <c r="H660" s="28">
        <v>2169.369369369369</v>
      </c>
      <c r="I660" s="19" t="s">
        <v>654</v>
      </c>
      <c r="J660" s="19" t="s">
        <v>655</v>
      </c>
      <c r="K660" s="32" t="s">
        <v>834</v>
      </c>
      <c r="L660" s="22"/>
      <c r="M660" s="22"/>
      <c r="N660" s="22"/>
      <c r="O660" s="20" t="s">
        <v>15</v>
      </c>
      <c r="P660" s="25" t="s">
        <v>16</v>
      </c>
      <c r="Q660" s="16">
        <v>2958465</v>
      </c>
    </row>
    <row r="661" spans="1:17">
      <c r="A661" s="11">
        <f t="shared" si="10"/>
        <v>660</v>
      </c>
      <c r="B661" s="11">
        <v>8010072791</v>
      </c>
      <c r="C661" s="25" t="s">
        <v>1035</v>
      </c>
      <c r="D661" s="27">
        <v>3200</v>
      </c>
      <c r="E661" s="11">
        <v>0.43</v>
      </c>
      <c r="F661" s="11" t="s">
        <v>11</v>
      </c>
      <c r="G661" s="44">
        <v>1376</v>
      </c>
      <c r="H661" s="28">
        <v>1239.6396396396394</v>
      </c>
      <c r="I661" s="19" t="s">
        <v>654</v>
      </c>
      <c r="J661" s="19" t="s">
        <v>655</v>
      </c>
      <c r="K661" s="32" t="s">
        <v>834</v>
      </c>
      <c r="L661" s="22"/>
      <c r="M661" s="22"/>
      <c r="N661" s="22"/>
      <c r="O661" s="20" t="s">
        <v>15</v>
      </c>
      <c r="P661" s="25" t="s">
        <v>16</v>
      </c>
      <c r="Q661" s="16">
        <v>2958465</v>
      </c>
    </row>
    <row r="662" spans="1:17">
      <c r="A662" s="11">
        <f t="shared" si="10"/>
        <v>661</v>
      </c>
      <c r="B662" s="11">
        <v>8010072792</v>
      </c>
      <c r="C662" s="25" t="s">
        <v>1036</v>
      </c>
      <c r="D662" s="27">
        <v>5600</v>
      </c>
      <c r="E662" s="11">
        <v>0.43</v>
      </c>
      <c r="F662" s="11" t="s">
        <v>11</v>
      </c>
      <c r="G662" s="44">
        <v>2408</v>
      </c>
      <c r="H662" s="28">
        <v>2169.369369369369</v>
      </c>
      <c r="I662" s="19" t="s">
        <v>654</v>
      </c>
      <c r="J662" s="19" t="s">
        <v>655</v>
      </c>
      <c r="K662" s="32" t="s">
        <v>834</v>
      </c>
      <c r="L662" s="22"/>
      <c r="M662" s="22"/>
      <c r="N662" s="22"/>
      <c r="O662" s="20" t="s">
        <v>15</v>
      </c>
      <c r="P662" s="25" t="s">
        <v>16</v>
      </c>
      <c r="Q662" s="16">
        <v>2958465</v>
      </c>
    </row>
    <row r="663" spans="1:17">
      <c r="A663" s="11">
        <f t="shared" si="10"/>
        <v>662</v>
      </c>
      <c r="B663" s="11">
        <v>8010072793</v>
      </c>
      <c r="C663" s="25" t="s">
        <v>1037</v>
      </c>
      <c r="D663" s="27">
        <v>4400</v>
      </c>
      <c r="E663" s="11">
        <v>0.43</v>
      </c>
      <c r="F663" s="11" t="s">
        <v>11</v>
      </c>
      <c r="G663" s="44">
        <v>1892</v>
      </c>
      <c r="H663" s="28">
        <v>1704.5045045045044</v>
      </c>
      <c r="I663" s="19" t="s">
        <v>654</v>
      </c>
      <c r="J663" s="19" t="s">
        <v>655</v>
      </c>
      <c r="K663" s="32" t="s">
        <v>834</v>
      </c>
      <c r="L663" s="22"/>
      <c r="M663" s="22"/>
      <c r="N663" s="22"/>
      <c r="O663" s="20" t="s">
        <v>15</v>
      </c>
      <c r="P663" s="25" t="s">
        <v>16</v>
      </c>
      <c r="Q663" s="16">
        <v>2958465</v>
      </c>
    </row>
    <row r="664" spans="1:17">
      <c r="A664" s="11">
        <f t="shared" si="10"/>
        <v>663</v>
      </c>
      <c r="B664" s="11">
        <v>8010072794</v>
      </c>
      <c r="C664" s="25" t="s">
        <v>1038</v>
      </c>
      <c r="D664" s="27">
        <v>10000</v>
      </c>
      <c r="E664" s="11">
        <v>0.43</v>
      </c>
      <c r="F664" s="11" t="s">
        <v>11</v>
      </c>
      <c r="G664" s="44">
        <v>4300</v>
      </c>
      <c r="H664" s="28">
        <v>3873.8738738738734</v>
      </c>
      <c r="I664" s="19" t="s">
        <v>654</v>
      </c>
      <c r="J664" s="19" t="s">
        <v>655</v>
      </c>
      <c r="K664" s="32" t="s">
        <v>834</v>
      </c>
      <c r="L664" s="22"/>
      <c r="M664" s="22"/>
      <c r="N664" s="22"/>
      <c r="O664" s="20" t="s">
        <v>15</v>
      </c>
      <c r="P664" s="25" t="s">
        <v>16</v>
      </c>
      <c r="Q664" s="16">
        <v>2958465</v>
      </c>
    </row>
    <row r="665" spans="1:17">
      <c r="A665" s="11">
        <f t="shared" si="10"/>
        <v>664</v>
      </c>
      <c r="B665" s="11">
        <v>8010072795</v>
      </c>
      <c r="C665" s="25" t="s">
        <v>1039</v>
      </c>
      <c r="D665" s="27">
        <v>5600</v>
      </c>
      <c r="E665" s="11">
        <v>0.43</v>
      </c>
      <c r="F665" s="11" t="s">
        <v>11</v>
      </c>
      <c r="G665" s="44">
        <v>2408</v>
      </c>
      <c r="H665" s="28">
        <v>2169.369369369369</v>
      </c>
      <c r="I665" s="19" t="s">
        <v>654</v>
      </c>
      <c r="J665" s="19" t="s">
        <v>655</v>
      </c>
      <c r="K665" s="32" t="s">
        <v>834</v>
      </c>
      <c r="L665" s="22"/>
      <c r="M665" s="22"/>
      <c r="N665" s="22"/>
      <c r="O665" s="20" t="s">
        <v>15</v>
      </c>
      <c r="P665" s="25" t="s">
        <v>16</v>
      </c>
      <c r="Q665" s="16">
        <v>2958465</v>
      </c>
    </row>
    <row r="666" spans="1:17">
      <c r="A666" s="11">
        <f t="shared" si="10"/>
        <v>665</v>
      </c>
      <c r="B666" s="11">
        <v>8010072796</v>
      </c>
      <c r="C666" s="25" t="s">
        <v>1040</v>
      </c>
      <c r="D666" s="27">
        <v>11300</v>
      </c>
      <c r="E666" s="11">
        <v>0.43</v>
      </c>
      <c r="F666" s="11" t="s">
        <v>11</v>
      </c>
      <c r="G666" s="44">
        <v>4859</v>
      </c>
      <c r="H666" s="28">
        <v>4377.4774774774769</v>
      </c>
      <c r="I666" s="19" t="s">
        <v>654</v>
      </c>
      <c r="J666" s="19" t="s">
        <v>655</v>
      </c>
      <c r="K666" s="32" t="s">
        <v>834</v>
      </c>
      <c r="L666" s="22"/>
      <c r="M666" s="22"/>
      <c r="N666" s="22"/>
      <c r="O666" s="20" t="s">
        <v>15</v>
      </c>
      <c r="P666" s="25" t="s">
        <v>16</v>
      </c>
      <c r="Q666" s="16">
        <v>2958465</v>
      </c>
    </row>
    <row r="667" spans="1:17">
      <c r="A667" s="11">
        <f t="shared" si="10"/>
        <v>666</v>
      </c>
      <c r="B667" s="11">
        <v>8010072797</v>
      </c>
      <c r="C667" s="25" t="s">
        <v>1041</v>
      </c>
      <c r="D667" s="27">
        <v>6900</v>
      </c>
      <c r="E667" s="11">
        <v>0.43</v>
      </c>
      <c r="F667" s="11" t="s">
        <v>11</v>
      </c>
      <c r="G667" s="44">
        <v>2967</v>
      </c>
      <c r="H667" s="28">
        <v>2672.9729729729729</v>
      </c>
      <c r="I667" s="19" t="s">
        <v>654</v>
      </c>
      <c r="J667" s="19" t="s">
        <v>655</v>
      </c>
      <c r="K667" s="32" t="s">
        <v>834</v>
      </c>
      <c r="L667" s="22"/>
      <c r="M667" s="22"/>
      <c r="N667" s="22"/>
      <c r="O667" s="20" t="s">
        <v>15</v>
      </c>
      <c r="P667" s="25" t="s">
        <v>16</v>
      </c>
      <c r="Q667" s="16">
        <v>2958465</v>
      </c>
    </row>
    <row r="668" spans="1:17">
      <c r="A668" s="11">
        <f t="shared" si="10"/>
        <v>667</v>
      </c>
      <c r="B668" s="11">
        <v>8010072798</v>
      </c>
      <c r="C668" s="25" t="s">
        <v>1042</v>
      </c>
      <c r="D668" s="27">
        <v>13100</v>
      </c>
      <c r="E668" s="11">
        <v>0.43</v>
      </c>
      <c r="F668" s="11" t="s">
        <v>11</v>
      </c>
      <c r="G668" s="44">
        <v>5633</v>
      </c>
      <c r="H668" s="28">
        <v>5074.7747747747744</v>
      </c>
      <c r="I668" s="19" t="s">
        <v>654</v>
      </c>
      <c r="J668" s="19" t="s">
        <v>655</v>
      </c>
      <c r="K668" s="32" t="s">
        <v>834</v>
      </c>
      <c r="L668" s="22"/>
      <c r="M668" s="22"/>
      <c r="N668" s="22"/>
      <c r="O668" s="20" t="s">
        <v>15</v>
      </c>
      <c r="P668" s="25" t="s">
        <v>16</v>
      </c>
      <c r="Q668" s="16">
        <v>2958465</v>
      </c>
    </row>
    <row r="669" spans="1:17">
      <c r="A669" s="11">
        <f t="shared" si="10"/>
        <v>668</v>
      </c>
      <c r="B669" s="11">
        <v>8010072799</v>
      </c>
      <c r="C669" s="25" t="s">
        <v>1043</v>
      </c>
      <c r="D669" s="27">
        <v>7500</v>
      </c>
      <c r="E669" s="11">
        <v>0.43</v>
      </c>
      <c r="F669" s="11" t="s">
        <v>11</v>
      </c>
      <c r="G669" s="44">
        <v>3225</v>
      </c>
      <c r="H669" s="28">
        <v>2905.405405405405</v>
      </c>
      <c r="I669" s="19" t="s">
        <v>654</v>
      </c>
      <c r="J669" s="19" t="s">
        <v>655</v>
      </c>
      <c r="K669" s="32" t="s">
        <v>834</v>
      </c>
      <c r="L669" s="22"/>
      <c r="M669" s="22"/>
      <c r="N669" s="22"/>
      <c r="O669" s="20" t="s">
        <v>15</v>
      </c>
      <c r="P669" s="25" t="s">
        <v>16</v>
      </c>
      <c r="Q669" s="16">
        <v>2958465</v>
      </c>
    </row>
    <row r="670" spans="1:17">
      <c r="A670" s="11">
        <f t="shared" si="10"/>
        <v>669</v>
      </c>
      <c r="B670" s="11">
        <v>8010072800</v>
      </c>
      <c r="C670" s="25" t="s">
        <v>1044</v>
      </c>
      <c r="D670" s="27">
        <v>14400</v>
      </c>
      <c r="E670" s="11">
        <v>0.43</v>
      </c>
      <c r="F670" s="11" t="s">
        <v>11</v>
      </c>
      <c r="G670" s="44">
        <v>6192</v>
      </c>
      <c r="H670" s="28">
        <v>5578.3783783783783</v>
      </c>
      <c r="I670" s="19" t="s">
        <v>654</v>
      </c>
      <c r="J670" s="19" t="s">
        <v>655</v>
      </c>
      <c r="K670" s="32" t="s">
        <v>834</v>
      </c>
      <c r="L670" s="22"/>
      <c r="M670" s="22"/>
      <c r="N670" s="22"/>
      <c r="O670" s="20" t="s">
        <v>15</v>
      </c>
      <c r="P670" s="25" t="s">
        <v>16</v>
      </c>
      <c r="Q670" s="16">
        <v>2958465</v>
      </c>
    </row>
    <row r="671" spans="1:17">
      <c r="A671" s="11">
        <f t="shared" si="10"/>
        <v>670</v>
      </c>
      <c r="B671" s="11">
        <v>8010072801</v>
      </c>
      <c r="C671" s="25" t="s">
        <v>1045</v>
      </c>
      <c r="D671" s="27">
        <v>9900</v>
      </c>
      <c r="E671" s="11">
        <v>0.43</v>
      </c>
      <c r="F671" s="11" t="s">
        <v>11</v>
      </c>
      <c r="G671" s="44">
        <v>4257</v>
      </c>
      <c r="H671" s="28">
        <v>3835.135135135135</v>
      </c>
      <c r="I671" s="19" t="s">
        <v>654</v>
      </c>
      <c r="J671" s="19" t="s">
        <v>655</v>
      </c>
      <c r="K671" s="32" t="s">
        <v>834</v>
      </c>
      <c r="L671" s="22"/>
      <c r="M671" s="22"/>
      <c r="N671" s="22"/>
      <c r="O671" s="20" t="s">
        <v>15</v>
      </c>
      <c r="P671" s="25" t="s">
        <v>16</v>
      </c>
      <c r="Q671" s="16">
        <v>2958465</v>
      </c>
    </row>
    <row r="672" spans="1:17">
      <c r="A672" s="11">
        <f t="shared" si="10"/>
        <v>671</v>
      </c>
      <c r="B672" s="11">
        <v>8010072802</v>
      </c>
      <c r="C672" s="25" t="s">
        <v>1046</v>
      </c>
      <c r="D672" s="27">
        <v>13700</v>
      </c>
      <c r="E672" s="11">
        <v>0.43</v>
      </c>
      <c r="F672" s="11" t="s">
        <v>11</v>
      </c>
      <c r="G672" s="44">
        <v>5891</v>
      </c>
      <c r="H672" s="28">
        <v>5307.2072072072069</v>
      </c>
      <c r="I672" s="19" t="s">
        <v>654</v>
      </c>
      <c r="J672" s="19" t="s">
        <v>655</v>
      </c>
      <c r="K672" s="32" t="s">
        <v>834</v>
      </c>
      <c r="L672" s="22"/>
      <c r="M672" s="22"/>
      <c r="N672" s="22"/>
      <c r="O672" s="20" t="s">
        <v>15</v>
      </c>
      <c r="P672" s="25" t="s">
        <v>16</v>
      </c>
      <c r="Q672" s="16">
        <v>2958465</v>
      </c>
    </row>
    <row r="673" spans="1:20">
      <c r="A673" s="11">
        <f t="shared" si="10"/>
        <v>672</v>
      </c>
      <c r="B673" s="11">
        <v>8010072803</v>
      </c>
      <c r="C673" s="25" t="s">
        <v>1047</v>
      </c>
      <c r="D673" s="27">
        <v>14300</v>
      </c>
      <c r="E673" s="11">
        <v>0.43</v>
      </c>
      <c r="F673" s="11" t="s">
        <v>11</v>
      </c>
      <c r="G673" s="44">
        <v>6149</v>
      </c>
      <c r="H673" s="28">
        <v>5539.6396396396394</v>
      </c>
      <c r="I673" s="19" t="s">
        <v>654</v>
      </c>
      <c r="J673" s="19" t="s">
        <v>655</v>
      </c>
      <c r="K673" s="32" t="s">
        <v>834</v>
      </c>
      <c r="L673" s="22"/>
      <c r="M673" s="22"/>
      <c r="N673" s="22"/>
      <c r="O673" s="20" t="s">
        <v>15</v>
      </c>
      <c r="P673" s="25" t="s">
        <v>16</v>
      </c>
      <c r="Q673" s="16">
        <v>2958465</v>
      </c>
    </row>
    <row r="674" spans="1:20">
      <c r="A674" s="11">
        <f t="shared" si="10"/>
        <v>673</v>
      </c>
      <c r="B674" s="11">
        <v>8010072804</v>
      </c>
      <c r="C674" s="25" t="s">
        <v>1048</v>
      </c>
      <c r="D674" s="27">
        <v>24900</v>
      </c>
      <c r="E674" s="11">
        <v>0.43</v>
      </c>
      <c r="F674" s="11" t="s">
        <v>11</v>
      </c>
      <c r="G674" s="44">
        <v>10707</v>
      </c>
      <c r="H674" s="28">
        <v>9645.9459459459449</v>
      </c>
      <c r="I674" s="19" t="s">
        <v>654</v>
      </c>
      <c r="J674" s="19" t="s">
        <v>655</v>
      </c>
      <c r="K674" s="32" t="s">
        <v>834</v>
      </c>
      <c r="L674" s="22"/>
      <c r="M674" s="22"/>
      <c r="N674" s="22"/>
      <c r="O674" s="20" t="s">
        <v>15</v>
      </c>
      <c r="P674" s="25" t="s">
        <v>16</v>
      </c>
      <c r="Q674" s="16">
        <v>2958465</v>
      </c>
    </row>
    <row r="675" spans="1:20">
      <c r="A675" s="11">
        <f t="shared" si="10"/>
        <v>674</v>
      </c>
      <c r="B675" s="11">
        <v>8010072805</v>
      </c>
      <c r="C675" s="25" t="s">
        <v>1049</v>
      </c>
      <c r="D675" s="27">
        <v>27400</v>
      </c>
      <c r="E675" s="11">
        <v>0.43</v>
      </c>
      <c r="F675" s="11" t="s">
        <v>11</v>
      </c>
      <c r="G675" s="44">
        <v>11782</v>
      </c>
      <c r="H675" s="28">
        <v>10614.414414414414</v>
      </c>
      <c r="I675" s="19" t="s">
        <v>654</v>
      </c>
      <c r="J675" s="19" t="s">
        <v>655</v>
      </c>
      <c r="K675" s="32" t="s">
        <v>834</v>
      </c>
      <c r="L675" s="22"/>
      <c r="M675" s="22"/>
      <c r="N675" s="22"/>
      <c r="O675" s="20" t="s">
        <v>15</v>
      </c>
      <c r="P675" s="25" t="s">
        <v>16</v>
      </c>
      <c r="Q675" s="16">
        <v>2958465</v>
      </c>
    </row>
    <row r="676" spans="1:20">
      <c r="A676" s="11">
        <f t="shared" si="10"/>
        <v>675</v>
      </c>
      <c r="B676" s="11">
        <v>8010072806</v>
      </c>
      <c r="C676" s="25" t="s">
        <v>1052</v>
      </c>
      <c r="D676" s="27">
        <v>31200</v>
      </c>
      <c r="E676" s="11">
        <v>0.43</v>
      </c>
      <c r="F676" s="11" t="s">
        <v>11</v>
      </c>
      <c r="G676" s="44">
        <v>13416</v>
      </c>
      <c r="H676" s="28">
        <v>12086.486486486485</v>
      </c>
      <c r="I676" s="19" t="s">
        <v>654</v>
      </c>
      <c r="J676" s="19" t="s">
        <v>655</v>
      </c>
      <c r="K676" s="32" t="s">
        <v>834</v>
      </c>
      <c r="L676" s="22"/>
      <c r="M676" s="22"/>
      <c r="N676" s="22"/>
      <c r="O676" s="20" t="s">
        <v>15</v>
      </c>
      <c r="P676" s="25" t="s">
        <v>16</v>
      </c>
      <c r="Q676" s="16">
        <v>2958465</v>
      </c>
    </row>
    <row r="677" spans="1:20">
      <c r="A677" s="11">
        <f t="shared" si="10"/>
        <v>676</v>
      </c>
      <c r="B677" s="11">
        <v>8010072807</v>
      </c>
      <c r="C677" s="25" t="s">
        <v>1057</v>
      </c>
      <c r="D677" s="27">
        <v>38700</v>
      </c>
      <c r="E677" s="11">
        <v>0.43</v>
      </c>
      <c r="F677" s="11" t="s">
        <v>11</v>
      </c>
      <c r="G677" s="44">
        <v>16641</v>
      </c>
      <c r="H677" s="28">
        <v>14991.89189189189</v>
      </c>
      <c r="I677" s="19" t="s">
        <v>654</v>
      </c>
      <c r="J677" s="19" t="s">
        <v>655</v>
      </c>
      <c r="K677" s="32" t="s">
        <v>834</v>
      </c>
      <c r="L677" s="22"/>
      <c r="M677" s="22"/>
      <c r="N677" s="22"/>
      <c r="O677" s="20" t="s">
        <v>15</v>
      </c>
      <c r="P677" s="25" t="s">
        <v>16</v>
      </c>
      <c r="Q677" s="16">
        <v>2958465</v>
      </c>
    </row>
    <row r="678" spans="1:20">
      <c r="A678" s="11">
        <f t="shared" si="10"/>
        <v>677</v>
      </c>
      <c r="B678" s="11">
        <v>8010072808</v>
      </c>
      <c r="C678" s="25" t="s">
        <v>1058</v>
      </c>
      <c r="D678" s="27">
        <v>32400</v>
      </c>
      <c r="E678" s="11">
        <v>0.43</v>
      </c>
      <c r="F678" s="11" t="s">
        <v>11</v>
      </c>
      <c r="G678" s="44">
        <v>13932</v>
      </c>
      <c r="H678" s="28">
        <v>12551.35135135135</v>
      </c>
      <c r="I678" s="19" t="s">
        <v>654</v>
      </c>
      <c r="J678" s="19" t="s">
        <v>655</v>
      </c>
      <c r="K678" s="32" t="s">
        <v>834</v>
      </c>
      <c r="L678" s="22"/>
      <c r="M678" s="22"/>
      <c r="N678" s="22"/>
      <c r="O678" s="20" t="s">
        <v>15</v>
      </c>
      <c r="P678" s="25" t="s">
        <v>16</v>
      </c>
      <c r="Q678" s="16">
        <v>2958465</v>
      </c>
    </row>
    <row r="679" spans="1:20">
      <c r="A679" s="11">
        <f t="shared" si="10"/>
        <v>678</v>
      </c>
      <c r="B679" s="11">
        <v>8010072809</v>
      </c>
      <c r="C679" s="25" t="s">
        <v>1059</v>
      </c>
      <c r="D679" s="27">
        <v>148400</v>
      </c>
      <c r="E679" s="11">
        <v>0.43</v>
      </c>
      <c r="F679" s="11" t="s">
        <v>11</v>
      </c>
      <c r="G679" s="44">
        <v>63812</v>
      </c>
      <c r="H679" s="28">
        <v>57488.288288288284</v>
      </c>
      <c r="I679" s="19" t="s">
        <v>654</v>
      </c>
      <c r="J679" s="19" t="s">
        <v>655</v>
      </c>
      <c r="K679" s="32" t="s">
        <v>834</v>
      </c>
      <c r="L679" s="22"/>
      <c r="M679" s="22"/>
      <c r="N679" s="22"/>
      <c r="O679" s="20" t="s">
        <v>15</v>
      </c>
      <c r="P679" s="25" t="s">
        <v>16</v>
      </c>
      <c r="Q679" s="16">
        <v>2958465</v>
      </c>
    </row>
    <row r="680" spans="1:20">
      <c r="A680" s="11">
        <f t="shared" si="10"/>
        <v>679</v>
      </c>
      <c r="B680" s="11">
        <v>8010072810</v>
      </c>
      <c r="C680" s="25" t="s">
        <v>1060</v>
      </c>
      <c r="D680" s="27">
        <v>2500</v>
      </c>
      <c r="E680" s="11">
        <v>0.43</v>
      </c>
      <c r="F680" s="11" t="s">
        <v>11</v>
      </c>
      <c r="G680" s="44">
        <v>1075</v>
      </c>
      <c r="H680" s="28">
        <v>968.46846846846836</v>
      </c>
      <c r="I680" s="19" t="s">
        <v>654</v>
      </c>
      <c r="J680" s="19" t="s">
        <v>655</v>
      </c>
      <c r="K680" s="32" t="s">
        <v>834</v>
      </c>
      <c r="L680" s="22"/>
      <c r="M680" s="22"/>
      <c r="N680" s="22"/>
      <c r="O680" s="20" t="s">
        <v>15</v>
      </c>
      <c r="P680" s="25" t="s">
        <v>16</v>
      </c>
      <c r="Q680" s="16">
        <v>2958465</v>
      </c>
    </row>
    <row r="681" spans="1:20">
      <c r="A681" s="11">
        <f t="shared" si="10"/>
        <v>680</v>
      </c>
      <c r="B681" s="11">
        <v>8010072811</v>
      </c>
      <c r="C681" s="25" t="s">
        <v>1061</v>
      </c>
      <c r="D681" s="27">
        <v>5000</v>
      </c>
      <c r="E681" s="11">
        <v>0.43</v>
      </c>
      <c r="F681" s="11" t="s">
        <v>11</v>
      </c>
      <c r="G681" s="44">
        <v>2150</v>
      </c>
      <c r="H681" s="28">
        <v>1936.9369369369367</v>
      </c>
      <c r="I681" s="19" t="s">
        <v>654</v>
      </c>
      <c r="J681" s="19" t="s">
        <v>655</v>
      </c>
      <c r="K681" s="32" t="s">
        <v>834</v>
      </c>
      <c r="L681" s="22"/>
      <c r="M681" s="22"/>
      <c r="N681" s="22"/>
      <c r="O681" s="20" t="s">
        <v>15</v>
      </c>
      <c r="P681" s="25" t="s">
        <v>16</v>
      </c>
      <c r="Q681" s="16">
        <v>2958465</v>
      </c>
    </row>
    <row r="682" spans="1:20">
      <c r="A682" s="11">
        <f t="shared" si="10"/>
        <v>681</v>
      </c>
      <c r="B682" s="11">
        <v>8010072812</v>
      </c>
      <c r="C682" s="25" t="s">
        <v>1062</v>
      </c>
      <c r="D682" s="27">
        <v>2500</v>
      </c>
      <c r="E682" s="11">
        <v>0.43</v>
      </c>
      <c r="F682" s="11" t="s">
        <v>11</v>
      </c>
      <c r="G682" s="44">
        <v>1075</v>
      </c>
      <c r="H682" s="28">
        <v>968.46846846846836</v>
      </c>
      <c r="I682" s="19" t="s">
        <v>654</v>
      </c>
      <c r="J682" s="19" t="s">
        <v>655</v>
      </c>
      <c r="K682" s="32" t="s">
        <v>834</v>
      </c>
      <c r="L682" s="22"/>
      <c r="M682" s="22"/>
      <c r="N682" s="22"/>
      <c r="O682" s="20" t="s">
        <v>15</v>
      </c>
      <c r="P682" s="25" t="s">
        <v>16</v>
      </c>
      <c r="Q682" s="16">
        <v>2958465</v>
      </c>
    </row>
    <row r="683" spans="1:20">
      <c r="A683" s="11">
        <f t="shared" si="10"/>
        <v>682</v>
      </c>
      <c r="B683" s="11">
        <v>8010072813</v>
      </c>
      <c r="C683" s="25" t="s">
        <v>1195</v>
      </c>
      <c r="D683" s="27">
        <v>2586</v>
      </c>
      <c r="E683" s="11">
        <v>0.43</v>
      </c>
      <c r="F683" s="11" t="s">
        <v>11</v>
      </c>
      <c r="G683" s="44">
        <v>1112</v>
      </c>
      <c r="H683" s="28">
        <v>1001.8018018018017</v>
      </c>
      <c r="I683" s="19" t="s">
        <v>654</v>
      </c>
      <c r="J683" s="19" t="s">
        <v>655</v>
      </c>
      <c r="K683" s="32" t="s">
        <v>834</v>
      </c>
      <c r="L683" s="22"/>
      <c r="M683" s="22"/>
      <c r="N683" s="22"/>
      <c r="O683" s="20" t="s">
        <v>15</v>
      </c>
      <c r="P683" s="25" t="s">
        <v>1194</v>
      </c>
      <c r="Q683" s="16">
        <v>2958465</v>
      </c>
      <c r="R683" s="23"/>
      <c r="T683" s="23"/>
    </row>
    <row r="684" spans="1:20">
      <c r="A684" s="11">
        <f t="shared" si="10"/>
        <v>683</v>
      </c>
      <c r="B684" s="11">
        <v>8010072814</v>
      </c>
      <c r="C684" s="25" t="s">
        <v>1063</v>
      </c>
      <c r="D684" s="27">
        <v>11900</v>
      </c>
      <c r="E684" s="11">
        <v>0.43</v>
      </c>
      <c r="F684" s="11" t="s">
        <v>11</v>
      </c>
      <c r="G684" s="44">
        <v>5117</v>
      </c>
      <c r="H684" s="28">
        <v>4609.9099099099094</v>
      </c>
      <c r="I684" s="19" t="s">
        <v>654</v>
      </c>
      <c r="J684" s="19" t="s">
        <v>655</v>
      </c>
      <c r="K684" s="32" t="s">
        <v>834</v>
      </c>
      <c r="L684" s="22"/>
      <c r="M684" s="22"/>
      <c r="N684" s="22"/>
      <c r="O684" s="20" t="s">
        <v>15</v>
      </c>
      <c r="P684" s="25" t="s">
        <v>16</v>
      </c>
      <c r="Q684" s="16">
        <v>2958465</v>
      </c>
    </row>
    <row r="685" spans="1:20">
      <c r="A685" s="11">
        <f t="shared" si="10"/>
        <v>684</v>
      </c>
      <c r="B685" s="11">
        <v>8010072815</v>
      </c>
      <c r="C685" s="25" t="s">
        <v>1064</v>
      </c>
      <c r="D685" s="27">
        <v>19400</v>
      </c>
      <c r="E685" s="11">
        <v>0.43</v>
      </c>
      <c r="F685" s="11" t="s">
        <v>11</v>
      </c>
      <c r="G685" s="44">
        <v>8342</v>
      </c>
      <c r="H685" s="28">
        <v>7515.3153153153144</v>
      </c>
      <c r="I685" s="19" t="s">
        <v>654</v>
      </c>
      <c r="J685" s="19" t="s">
        <v>655</v>
      </c>
      <c r="K685" s="32" t="s">
        <v>834</v>
      </c>
      <c r="L685" s="22"/>
      <c r="M685" s="22"/>
      <c r="N685" s="22"/>
      <c r="O685" s="20" t="s">
        <v>15</v>
      </c>
      <c r="P685" s="25" t="s">
        <v>16</v>
      </c>
      <c r="Q685" s="16">
        <v>2958465</v>
      </c>
    </row>
    <row r="686" spans="1:20">
      <c r="A686" s="11">
        <f t="shared" si="10"/>
        <v>685</v>
      </c>
      <c r="B686" s="11">
        <v>8010072816</v>
      </c>
      <c r="C686" s="25" t="s">
        <v>1065</v>
      </c>
      <c r="D686" s="27">
        <v>1050</v>
      </c>
      <c r="E686" s="11">
        <v>0.43</v>
      </c>
      <c r="F686" s="11" t="s">
        <v>11</v>
      </c>
      <c r="G686" s="44">
        <v>452</v>
      </c>
      <c r="H686" s="28">
        <v>407.20720720720715</v>
      </c>
      <c r="I686" s="19" t="s">
        <v>654</v>
      </c>
      <c r="J686" s="19" t="s">
        <v>655</v>
      </c>
      <c r="K686" s="32" t="s">
        <v>834</v>
      </c>
      <c r="L686" s="22"/>
      <c r="M686" s="22"/>
      <c r="N686" s="22"/>
      <c r="O686" s="20" t="s">
        <v>15</v>
      </c>
      <c r="P686" s="25" t="s">
        <v>16</v>
      </c>
      <c r="Q686" s="16">
        <v>2958465</v>
      </c>
    </row>
    <row r="687" spans="1:20">
      <c r="A687" s="11">
        <f t="shared" si="10"/>
        <v>686</v>
      </c>
      <c r="B687" s="11">
        <v>8010072817</v>
      </c>
      <c r="C687" s="25" t="s">
        <v>1066</v>
      </c>
      <c r="D687" s="27">
        <v>1300</v>
      </c>
      <c r="E687" s="11">
        <v>0.43</v>
      </c>
      <c r="F687" s="11" t="s">
        <v>11</v>
      </c>
      <c r="G687" s="44">
        <v>559</v>
      </c>
      <c r="H687" s="28">
        <v>503.60360360360357</v>
      </c>
      <c r="I687" s="19" t="s">
        <v>654</v>
      </c>
      <c r="J687" s="19" t="s">
        <v>655</v>
      </c>
      <c r="K687" s="32" t="s">
        <v>834</v>
      </c>
      <c r="L687" s="22"/>
      <c r="M687" s="22"/>
      <c r="N687" s="22"/>
      <c r="O687" s="20" t="s">
        <v>15</v>
      </c>
      <c r="P687" s="25" t="s">
        <v>16</v>
      </c>
      <c r="Q687" s="16">
        <v>2958465</v>
      </c>
    </row>
    <row r="688" spans="1:20">
      <c r="A688" s="11">
        <f t="shared" si="10"/>
        <v>687</v>
      </c>
      <c r="B688" s="11">
        <v>8010072818</v>
      </c>
      <c r="C688" s="25" t="s">
        <v>1067</v>
      </c>
      <c r="D688" s="27">
        <v>1300</v>
      </c>
      <c r="E688" s="11">
        <v>0.43</v>
      </c>
      <c r="F688" s="11" t="s">
        <v>11</v>
      </c>
      <c r="G688" s="44">
        <v>559</v>
      </c>
      <c r="H688" s="28">
        <v>503.60360360360357</v>
      </c>
      <c r="I688" s="19" t="s">
        <v>654</v>
      </c>
      <c r="J688" s="19" t="s">
        <v>655</v>
      </c>
      <c r="K688" s="32" t="s">
        <v>834</v>
      </c>
      <c r="L688" s="22"/>
      <c r="M688" s="22"/>
      <c r="N688" s="22"/>
      <c r="O688" s="20" t="s">
        <v>15</v>
      </c>
      <c r="P688" s="25" t="s">
        <v>16</v>
      </c>
      <c r="Q688" s="16">
        <v>2958465</v>
      </c>
    </row>
    <row r="689" spans="1:17">
      <c r="A689" s="11">
        <f t="shared" si="10"/>
        <v>688</v>
      </c>
      <c r="B689" s="11">
        <v>8010072819</v>
      </c>
      <c r="C689" s="25" t="s">
        <v>1068</v>
      </c>
      <c r="D689" s="27">
        <v>1900</v>
      </c>
      <c r="E689" s="11">
        <v>0.43</v>
      </c>
      <c r="F689" s="11" t="s">
        <v>11</v>
      </c>
      <c r="G689" s="44">
        <v>817</v>
      </c>
      <c r="H689" s="28">
        <v>736.03603603603597</v>
      </c>
      <c r="I689" s="19" t="s">
        <v>654</v>
      </c>
      <c r="J689" s="19" t="s">
        <v>655</v>
      </c>
      <c r="K689" s="32" t="s">
        <v>834</v>
      </c>
      <c r="L689" s="22"/>
      <c r="M689" s="22"/>
      <c r="N689" s="22"/>
      <c r="O689" s="20" t="s">
        <v>15</v>
      </c>
      <c r="P689" s="25" t="s">
        <v>16</v>
      </c>
      <c r="Q689" s="16">
        <v>2958465</v>
      </c>
    </row>
    <row r="690" spans="1:17">
      <c r="A690" s="11">
        <f t="shared" si="10"/>
        <v>689</v>
      </c>
      <c r="B690" s="11">
        <v>8010072820</v>
      </c>
      <c r="C690" s="25" t="s">
        <v>1069</v>
      </c>
      <c r="D690" s="27">
        <v>25600</v>
      </c>
      <c r="E690" s="11">
        <v>0.43</v>
      </c>
      <c r="F690" s="11" t="s">
        <v>11</v>
      </c>
      <c r="G690" s="44">
        <v>11008</v>
      </c>
      <c r="H690" s="28">
        <v>9917.1171171171154</v>
      </c>
      <c r="I690" s="19" t="s">
        <v>654</v>
      </c>
      <c r="J690" s="19" t="s">
        <v>655</v>
      </c>
      <c r="K690" s="32" t="s">
        <v>834</v>
      </c>
      <c r="L690" s="22"/>
      <c r="M690" s="22"/>
      <c r="N690" s="22"/>
      <c r="O690" s="20" t="s">
        <v>15</v>
      </c>
      <c r="P690" s="25" t="s">
        <v>16</v>
      </c>
      <c r="Q690" s="16">
        <v>2958465</v>
      </c>
    </row>
    <row r="691" spans="1:17">
      <c r="A691" s="11">
        <f t="shared" si="10"/>
        <v>690</v>
      </c>
      <c r="B691" s="11">
        <v>8010072821</v>
      </c>
      <c r="C691" s="25" t="s">
        <v>1070</v>
      </c>
      <c r="D691" s="27">
        <v>49900</v>
      </c>
      <c r="E691" s="11">
        <v>0.43</v>
      </c>
      <c r="F691" s="11" t="s">
        <v>11</v>
      </c>
      <c r="G691" s="44">
        <v>21457</v>
      </c>
      <c r="H691" s="28">
        <v>19330.630630630629</v>
      </c>
      <c r="I691" s="19" t="s">
        <v>654</v>
      </c>
      <c r="J691" s="19" t="s">
        <v>655</v>
      </c>
      <c r="K691" s="32" t="s">
        <v>834</v>
      </c>
      <c r="L691" s="22"/>
      <c r="M691" s="22"/>
      <c r="N691" s="22"/>
      <c r="O691" s="20" t="s">
        <v>15</v>
      </c>
      <c r="P691" s="25" t="s">
        <v>16</v>
      </c>
      <c r="Q691" s="16">
        <v>2958465</v>
      </c>
    </row>
    <row r="692" spans="1:17">
      <c r="A692" s="11">
        <f t="shared" si="10"/>
        <v>691</v>
      </c>
      <c r="B692" s="11">
        <v>8010072822</v>
      </c>
      <c r="C692" s="25" t="s">
        <v>1071</v>
      </c>
      <c r="D692" s="27">
        <v>84200</v>
      </c>
      <c r="E692" s="11">
        <v>0.43</v>
      </c>
      <c r="F692" s="11" t="s">
        <v>11</v>
      </c>
      <c r="G692" s="44">
        <v>36206</v>
      </c>
      <c r="H692" s="28">
        <v>32618.018018018014</v>
      </c>
      <c r="I692" s="19" t="s">
        <v>654</v>
      </c>
      <c r="J692" s="19" t="s">
        <v>655</v>
      </c>
      <c r="K692" s="32" t="s">
        <v>834</v>
      </c>
      <c r="L692" s="22"/>
      <c r="M692" s="22"/>
      <c r="N692" s="22"/>
      <c r="O692" s="20" t="s">
        <v>15</v>
      </c>
      <c r="P692" s="25" t="s">
        <v>16</v>
      </c>
      <c r="Q692" s="16">
        <v>2958465</v>
      </c>
    </row>
    <row r="693" spans="1:17">
      <c r="A693" s="11">
        <f t="shared" si="10"/>
        <v>692</v>
      </c>
      <c r="B693" s="11">
        <v>8010072823</v>
      </c>
      <c r="C693" s="25" t="s">
        <v>830</v>
      </c>
      <c r="D693" s="27">
        <v>74500</v>
      </c>
      <c r="E693" s="11">
        <v>0.51</v>
      </c>
      <c r="F693" s="11" t="s">
        <v>11</v>
      </c>
      <c r="G693" s="44">
        <v>37995</v>
      </c>
      <c r="H693" s="28">
        <v>34229.729729729726</v>
      </c>
      <c r="I693" s="19" t="s">
        <v>654</v>
      </c>
      <c r="J693" s="19" t="s">
        <v>655</v>
      </c>
      <c r="K693" s="32" t="s">
        <v>656</v>
      </c>
      <c r="L693" s="22"/>
      <c r="M693" s="22"/>
      <c r="N693" s="22"/>
      <c r="O693" s="20" t="s">
        <v>15</v>
      </c>
      <c r="P693" s="25" t="s">
        <v>16</v>
      </c>
      <c r="Q693" s="16">
        <v>2958465</v>
      </c>
    </row>
    <row r="694" spans="1:17">
      <c r="A694" s="11">
        <f t="shared" si="10"/>
        <v>693</v>
      </c>
      <c r="B694" s="11">
        <v>8010072824</v>
      </c>
      <c r="C694" s="25" t="s">
        <v>831</v>
      </c>
      <c r="D694" s="27">
        <v>121400</v>
      </c>
      <c r="E694" s="11">
        <v>0.51</v>
      </c>
      <c r="F694" s="11" t="s">
        <v>11</v>
      </c>
      <c r="G694" s="44">
        <v>61914</v>
      </c>
      <c r="H694" s="28">
        <v>55778.378378378373</v>
      </c>
      <c r="I694" s="19" t="s">
        <v>654</v>
      </c>
      <c r="J694" s="19" t="s">
        <v>655</v>
      </c>
      <c r="K694" s="32" t="s">
        <v>656</v>
      </c>
      <c r="L694" s="22"/>
      <c r="M694" s="22"/>
      <c r="N694" s="22"/>
      <c r="O694" s="20" t="s">
        <v>15</v>
      </c>
      <c r="P694" s="25" t="s">
        <v>16</v>
      </c>
      <c r="Q694" s="16">
        <v>2958465</v>
      </c>
    </row>
    <row r="695" spans="1:17">
      <c r="A695" s="11">
        <f t="shared" si="10"/>
        <v>694</v>
      </c>
      <c r="B695" s="11">
        <v>8010072825</v>
      </c>
      <c r="C695" s="25" t="s">
        <v>832</v>
      </c>
      <c r="D695" s="27">
        <v>202100</v>
      </c>
      <c r="E695" s="11">
        <v>0.51</v>
      </c>
      <c r="F695" s="11" t="s">
        <v>11</v>
      </c>
      <c r="G695" s="44">
        <v>103071</v>
      </c>
      <c r="H695" s="28">
        <v>92856.756756756746</v>
      </c>
      <c r="I695" s="19" t="s">
        <v>654</v>
      </c>
      <c r="J695" s="19" t="s">
        <v>655</v>
      </c>
      <c r="K695" s="32" t="s">
        <v>656</v>
      </c>
      <c r="L695" s="22"/>
      <c r="M695" s="22"/>
      <c r="N695" s="22"/>
      <c r="O695" s="20" t="s">
        <v>15</v>
      </c>
      <c r="P695" s="25" t="s">
        <v>16</v>
      </c>
      <c r="Q695" s="16">
        <v>2958465</v>
      </c>
    </row>
    <row r="696" spans="1:17">
      <c r="A696" s="11">
        <f t="shared" si="10"/>
        <v>695</v>
      </c>
      <c r="B696" s="11">
        <v>8010072826</v>
      </c>
      <c r="C696" s="25" t="s">
        <v>1072</v>
      </c>
      <c r="D696" s="27">
        <v>1300</v>
      </c>
      <c r="E696" s="11">
        <v>0.43</v>
      </c>
      <c r="F696" s="11" t="s">
        <v>11</v>
      </c>
      <c r="G696" s="44">
        <v>559</v>
      </c>
      <c r="H696" s="28">
        <v>503.60360360360357</v>
      </c>
      <c r="I696" s="19" t="s">
        <v>654</v>
      </c>
      <c r="J696" s="19" t="s">
        <v>655</v>
      </c>
      <c r="K696" s="32" t="s">
        <v>834</v>
      </c>
      <c r="L696" s="22"/>
      <c r="M696" s="22"/>
      <c r="N696" s="22"/>
      <c r="O696" s="20" t="s">
        <v>15</v>
      </c>
      <c r="P696" s="25" t="s">
        <v>16</v>
      </c>
      <c r="Q696" s="16">
        <v>2958465</v>
      </c>
    </row>
    <row r="697" spans="1:17">
      <c r="A697" s="11">
        <f t="shared" si="10"/>
        <v>696</v>
      </c>
      <c r="B697" s="11">
        <v>8010072827</v>
      </c>
      <c r="C697" s="25" t="s">
        <v>1073</v>
      </c>
      <c r="D697" s="27">
        <v>1400</v>
      </c>
      <c r="E697" s="11">
        <v>0.43</v>
      </c>
      <c r="F697" s="11" t="s">
        <v>11</v>
      </c>
      <c r="G697" s="44">
        <v>602</v>
      </c>
      <c r="H697" s="28">
        <v>542.34234234234225</v>
      </c>
      <c r="I697" s="19" t="s">
        <v>654</v>
      </c>
      <c r="J697" s="19" t="s">
        <v>655</v>
      </c>
      <c r="K697" s="32" t="s">
        <v>834</v>
      </c>
      <c r="L697" s="22"/>
      <c r="M697" s="22"/>
      <c r="N697" s="22"/>
      <c r="O697" s="20" t="s">
        <v>15</v>
      </c>
      <c r="P697" s="25" t="s">
        <v>16</v>
      </c>
      <c r="Q697" s="16">
        <v>2958465</v>
      </c>
    </row>
    <row r="698" spans="1:17">
      <c r="A698" s="11">
        <f t="shared" si="10"/>
        <v>697</v>
      </c>
      <c r="B698" s="11">
        <v>8010072828</v>
      </c>
      <c r="C698" s="25" t="s">
        <v>1074</v>
      </c>
      <c r="D698" s="27">
        <v>1700</v>
      </c>
      <c r="E698" s="11">
        <v>0.43</v>
      </c>
      <c r="F698" s="11" t="s">
        <v>11</v>
      </c>
      <c r="G698" s="44">
        <v>731</v>
      </c>
      <c r="H698" s="28">
        <v>658.5585585585585</v>
      </c>
      <c r="I698" s="19" t="s">
        <v>654</v>
      </c>
      <c r="J698" s="19" t="s">
        <v>655</v>
      </c>
      <c r="K698" s="32" t="s">
        <v>834</v>
      </c>
      <c r="L698" s="22"/>
      <c r="M698" s="22"/>
      <c r="N698" s="22"/>
      <c r="O698" s="20" t="s">
        <v>15</v>
      </c>
      <c r="P698" s="25" t="s">
        <v>16</v>
      </c>
      <c r="Q698" s="16">
        <v>2958465</v>
      </c>
    </row>
    <row r="699" spans="1:17">
      <c r="A699" s="11">
        <f t="shared" si="10"/>
        <v>698</v>
      </c>
      <c r="B699" s="11">
        <v>8010072829</v>
      </c>
      <c r="C699" s="25" t="s">
        <v>1075</v>
      </c>
      <c r="D699" s="27">
        <v>28700</v>
      </c>
      <c r="E699" s="11">
        <v>0.43</v>
      </c>
      <c r="F699" s="11" t="s">
        <v>11</v>
      </c>
      <c r="G699" s="44">
        <v>12341</v>
      </c>
      <c r="H699" s="28">
        <v>11118.018018018018</v>
      </c>
      <c r="I699" s="19" t="s">
        <v>654</v>
      </c>
      <c r="J699" s="19" t="s">
        <v>655</v>
      </c>
      <c r="K699" s="32" t="s">
        <v>834</v>
      </c>
      <c r="L699" s="22"/>
      <c r="M699" s="22"/>
      <c r="N699" s="22"/>
      <c r="O699" s="20" t="s">
        <v>15</v>
      </c>
      <c r="P699" s="25" t="s">
        <v>16</v>
      </c>
      <c r="Q699" s="16">
        <v>2958465</v>
      </c>
    </row>
    <row r="700" spans="1:17">
      <c r="A700" s="11">
        <f t="shared" si="10"/>
        <v>699</v>
      </c>
      <c r="B700" s="11">
        <v>8010072830</v>
      </c>
      <c r="C700" s="25" t="s">
        <v>1056</v>
      </c>
      <c r="D700" s="27">
        <v>31800</v>
      </c>
      <c r="E700" s="11">
        <v>0.43</v>
      </c>
      <c r="F700" s="11" t="s">
        <v>11</v>
      </c>
      <c r="G700" s="44">
        <v>13674</v>
      </c>
      <c r="H700" s="28">
        <v>12318.918918918918</v>
      </c>
      <c r="I700" s="19" t="s">
        <v>654</v>
      </c>
      <c r="J700" s="19" t="s">
        <v>655</v>
      </c>
      <c r="K700" s="32" t="s">
        <v>834</v>
      </c>
      <c r="L700" s="22"/>
      <c r="M700" s="22"/>
      <c r="N700" s="22"/>
      <c r="O700" s="20" t="s">
        <v>15</v>
      </c>
      <c r="P700" s="25" t="s">
        <v>16</v>
      </c>
      <c r="Q700" s="16">
        <v>2958465</v>
      </c>
    </row>
    <row r="701" spans="1:17">
      <c r="A701" s="11">
        <f t="shared" si="10"/>
        <v>700</v>
      </c>
      <c r="B701" s="11">
        <v>8010072831</v>
      </c>
      <c r="C701" s="25" t="s">
        <v>811</v>
      </c>
      <c r="D701" s="27">
        <v>117000</v>
      </c>
      <c r="E701" s="11">
        <v>0.51</v>
      </c>
      <c r="F701" s="11" t="s">
        <v>11</v>
      </c>
      <c r="G701" s="44">
        <v>59670</v>
      </c>
      <c r="H701" s="28">
        <v>53756.756756756753</v>
      </c>
      <c r="I701" s="19" t="s">
        <v>654</v>
      </c>
      <c r="J701" s="19" t="s">
        <v>655</v>
      </c>
      <c r="K701" s="32" t="s">
        <v>656</v>
      </c>
      <c r="L701" s="22"/>
      <c r="M701" s="22"/>
      <c r="N701" s="22"/>
      <c r="O701" s="20" t="s">
        <v>15</v>
      </c>
      <c r="P701" s="25" t="s">
        <v>16</v>
      </c>
      <c r="Q701" s="16">
        <v>2958465</v>
      </c>
    </row>
    <row r="702" spans="1:17">
      <c r="A702" s="11">
        <f t="shared" si="10"/>
        <v>701</v>
      </c>
      <c r="B702" s="11">
        <v>8010072832</v>
      </c>
      <c r="C702" s="25" t="s">
        <v>812</v>
      </c>
      <c r="D702" s="27">
        <v>197000</v>
      </c>
      <c r="E702" s="11">
        <v>0.51</v>
      </c>
      <c r="F702" s="11" t="s">
        <v>11</v>
      </c>
      <c r="G702" s="44">
        <v>100470</v>
      </c>
      <c r="H702" s="28">
        <v>90513.513513513506</v>
      </c>
      <c r="I702" s="19" t="s">
        <v>654</v>
      </c>
      <c r="J702" s="19" t="s">
        <v>655</v>
      </c>
      <c r="K702" s="32" t="s">
        <v>656</v>
      </c>
      <c r="L702" s="22"/>
      <c r="M702" s="22"/>
      <c r="N702" s="22"/>
      <c r="O702" s="20" t="s">
        <v>15</v>
      </c>
      <c r="P702" s="25" t="s">
        <v>16</v>
      </c>
      <c r="Q702" s="16">
        <v>2958465</v>
      </c>
    </row>
    <row r="703" spans="1:17">
      <c r="A703" s="11">
        <f t="shared" si="10"/>
        <v>702</v>
      </c>
      <c r="B703" s="11">
        <v>8010072833</v>
      </c>
      <c r="C703" s="25" t="s">
        <v>813</v>
      </c>
      <c r="D703" s="27">
        <v>127000</v>
      </c>
      <c r="E703" s="11">
        <v>0.51</v>
      </c>
      <c r="F703" s="11" t="s">
        <v>11</v>
      </c>
      <c r="G703" s="44">
        <v>64770</v>
      </c>
      <c r="H703" s="28">
        <v>58351.351351351346</v>
      </c>
      <c r="I703" s="19" t="s">
        <v>654</v>
      </c>
      <c r="J703" s="19" t="s">
        <v>655</v>
      </c>
      <c r="K703" s="32" t="s">
        <v>656</v>
      </c>
      <c r="L703" s="22"/>
      <c r="M703" s="22"/>
      <c r="N703" s="22"/>
      <c r="O703" s="20" t="s">
        <v>15</v>
      </c>
      <c r="P703" s="25" t="s">
        <v>16</v>
      </c>
      <c r="Q703" s="16">
        <v>2958465</v>
      </c>
    </row>
    <row r="704" spans="1:17">
      <c r="A704" s="11">
        <f t="shared" si="10"/>
        <v>703</v>
      </c>
      <c r="B704" s="11">
        <v>8010072834</v>
      </c>
      <c r="C704" s="25" t="s">
        <v>814</v>
      </c>
      <c r="D704" s="27">
        <v>210200</v>
      </c>
      <c r="E704" s="11">
        <v>0.51</v>
      </c>
      <c r="F704" s="11" t="s">
        <v>11</v>
      </c>
      <c r="G704" s="44">
        <v>107202</v>
      </c>
      <c r="H704" s="28">
        <v>96578.378378378373</v>
      </c>
      <c r="I704" s="19" t="s">
        <v>654</v>
      </c>
      <c r="J704" s="19" t="s">
        <v>655</v>
      </c>
      <c r="K704" s="32" t="s">
        <v>656</v>
      </c>
      <c r="L704" s="22"/>
      <c r="M704" s="22"/>
      <c r="N704" s="22"/>
      <c r="O704" s="20" t="s">
        <v>15</v>
      </c>
      <c r="P704" s="25" t="s">
        <v>16</v>
      </c>
      <c r="Q704" s="16">
        <v>2958465</v>
      </c>
    </row>
    <row r="705" spans="1:17">
      <c r="A705" s="11">
        <f t="shared" si="10"/>
        <v>704</v>
      </c>
      <c r="B705" s="11">
        <v>8010072835</v>
      </c>
      <c r="C705" s="25" t="s">
        <v>815</v>
      </c>
      <c r="D705" s="27">
        <v>127600</v>
      </c>
      <c r="E705" s="11">
        <v>0.51</v>
      </c>
      <c r="F705" s="11" t="s">
        <v>11</v>
      </c>
      <c r="G705" s="44">
        <v>65076</v>
      </c>
      <c r="H705" s="28">
        <v>58627.027027027019</v>
      </c>
      <c r="I705" s="19" t="s">
        <v>654</v>
      </c>
      <c r="J705" s="19" t="s">
        <v>655</v>
      </c>
      <c r="K705" s="32" t="s">
        <v>656</v>
      </c>
      <c r="L705" s="22"/>
      <c r="M705" s="22"/>
      <c r="N705" s="22"/>
      <c r="O705" s="20" t="s">
        <v>15</v>
      </c>
      <c r="P705" s="25" t="s">
        <v>16</v>
      </c>
      <c r="Q705" s="16">
        <v>2958465</v>
      </c>
    </row>
    <row r="706" spans="1:17">
      <c r="A706" s="11">
        <f t="shared" si="10"/>
        <v>705</v>
      </c>
      <c r="B706" s="11">
        <v>8010072836</v>
      </c>
      <c r="C706" s="25" t="s">
        <v>1053</v>
      </c>
      <c r="D706" s="27">
        <v>1900</v>
      </c>
      <c r="E706" s="11">
        <v>0.43</v>
      </c>
      <c r="F706" s="11" t="s">
        <v>11</v>
      </c>
      <c r="G706" s="44">
        <v>817</v>
      </c>
      <c r="H706" s="28">
        <v>736.03603603603597</v>
      </c>
      <c r="I706" s="19" t="s">
        <v>654</v>
      </c>
      <c r="J706" s="19" t="s">
        <v>655</v>
      </c>
      <c r="K706" s="32" t="s">
        <v>834</v>
      </c>
      <c r="L706" s="22"/>
      <c r="M706" s="22"/>
      <c r="N706" s="22"/>
      <c r="O706" s="20" t="s">
        <v>15</v>
      </c>
      <c r="P706" s="25" t="s">
        <v>16</v>
      </c>
      <c r="Q706" s="16">
        <v>2958465</v>
      </c>
    </row>
    <row r="707" spans="1:17">
      <c r="A707" s="11">
        <f t="shared" si="10"/>
        <v>706</v>
      </c>
      <c r="B707" s="11">
        <v>8010072837</v>
      </c>
      <c r="C707" s="25" t="s">
        <v>816</v>
      </c>
      <c r="D707" s="27">
        <v>317700</v>
      </c>
      <c r="E707" s="11">
        <v>0.51</v>
      </c>
      <c r="F707" s="11" t="s">
        <v>11</v>
      </c>
      <c r="G707" s="44">
        <v>162027</v>
      </c>
      <c r="H707" s="28">
        <v>145970.27027027027</v>
      </c>
      <c r="I707" s="19" t="s">
        <v>654</v>
      </c>
      <c r="J707" s="19" t="s">
        <v>655</v>
      </c>
      <c r="K707" s="32" t="s">
        <v>656</v>
      </c>
      <c r="L707" s="22"/>
      <c r="M707" s="22"/>
      <c r="N707" s="22"/>
      <c r="O707" s="20" t="s">
        <v>15</v>
      </c>
      <c r="P707" s="25" t="s">
        <v>16</v>
      </c>
      <c r="Q707" s="16">
        <v>2958465</v>
      </c>
    </row>
    <row r="708" spans="1:17">
      <c r="A708" s="11">
        <f t="shared" si="10"/>
        <v>707</v>
      </c>
      <c r="B708" s="11">
        <v>8010072838</v>
      </c>
      <c r="C708" s="25" t="s">
        <v>817</v>
      </c>
      <c r="D708" s="27">
        <v>120100</v>
      </c>
      <c r="E708" s="11">
        <v>0.51</v>
      </c>
      <c r="F708" s="11" t="s">
        <v>11</v>
      </c>
      <c r="G708" s="44">
        <v>61251</v>
      </c>
      <c r="H708" s="28">
        <v>55181.081081081073</v>
      </c>
      <c r="I708" s="19" t="s">
        <v>654</v>
      </c>
      <c r="J708" s="19" t="s">
        <v>655</v>
      </c>
      <c r="K708" s="32" t="s">
        <v>656</v>
      </c>
      <c r="L708" s="22"/>
      <c r="M708" s="22"/>
      <c r="N708" s="22"/>
      <c r="O708" s="20" t="s">
        <v>15</v>
      </c>
      <c r="P708" s="25" t="s">
        <v>16</v>
      </c>
      <c r="Q708" s="16">
        <v>2958465</v>
      </c>
    </row>
    <row r="709" spans="1:17">
      <c r="A709" s="11">
        <f t="shared" ref="A709:A772" si="11">ROW()-1</f>
        <v>708</v>
      </c>
      <c r="B709" s="11">
        <v>8010072839</v>
      </c>
      <c r="C709" s="25" t="s">
        <v>818</v>
      </c>
      <c r="D709" s="27">
        <v>202700</v>
      </c>
      <c r="E709" s="11">
        <v>0.51</v>
      </c>
      <c r="F709" s="11" t="s">
        <v>11</v>
      </c>
      <c r="G709" s="44">
        <v>103377</v>
      </c>
      <c r="H709" s="28">
        <v>93132.432432432426</v>
      </c>
      <c r="I709" s="19" t="s">
        <v>654</v>
      </c>
      <c r="J709" s="19" t="s">
        <v>655</v>
      </c>
      <c r="K709" s="32" t="s">
        <v>656</v>
      </c>
      <c r="L709" s="22"/>
      <c r="M709" s="22"/>
      <c r="N709" s="22"/>
      <c r="O709" s="20" t="s">
        <v>15</v>
      </c>
      <c r="P709" s="25" t="s">
        <v>16</v>
      </c>
      <c r="Q709" s="16">
        <v>2958465</v>
      </c>
    </row>
    <row r="710" spans="1:17">
      <c r="A710" s="11">
        <f t="shared" si="11"/>
        <v>709</v>
      </c>
      <c r="B710" s="11">
        <v>8010072840</v>
      </c>
      <c r="C710" s="25" t="s">
        <v>819</v>
      </c>
      <c r="D710" s="27">
        <v>134500</v>
      </c>
      <c r="E710" s="11">
        <v>0.51</v>
      </c>
      <c r="F710" s="11" t="s">
        <v>11</v>
      </c>
      <c r="G710" s="44">
        <v>68595</v>
      </c>
      <c r="H710" s="28">
        <v>61797.297297297293</v>
      </c>
      <c r="I710" s="19" t="s">
        <v>654</v>
      </c>
      <c r="J710" s="19" t="s">
        <v>655</v>
      </c>
      <c r="K710" s="32" t="s">
        <v>656</v>
      </c>
      <c r="L710" s="22"/>
      <c r="M710" s="22"/>
      <c r="N710" s="22"/>
      <c r="O710" s="20" t="s">
        <v>15</v>
      </c>
      <c r="P710" s="25" t="s">
        <v>16</v>
      </c>
      <c r="Q710" s="16">
        <v>2958465</v>
      </c>
    </row>
    <row r="711" spans="1:17">
      <c r="A711" s="11">
        <f t="shared" si="11"/>
        <v>710</v>
      </c>
      <c r="B711" s="11">
        <v>8010072841</v>
      </c>
      <c r="C711" s="25" t="s">
        <v>820</v>
      </c>
      <c r="D711" s="27">
        <v>131400</v>
      </c>
      <c r="E711" s="11">
        <v>0.51</v>
      </c>
      <c r="F711" s="11" t="s">
        <v>11</v>
      </c>
      <c r="G711" s="44">
        <v>67014</v>
      </c>
      <c r="H711" s="28">
        <v>60372.972972972966</v>
      </c>
      <c r="I711" s="19" t="s">
        <v>654</v>
      </c>
      <c r="J711" s="19" t="s">
        <v>655</v>
      </c>
      <c r="K711" s="32" t="s">
        <v>656</v>
      </c>
      <c r="L711" s="22"/>
      <c r="M711" s="22"/>
      <c r="N711" s="22"/>
      <c r="O711" s="20" t="s">
        <v>15</v>
      </c>
      <c r="P711" s="25" t="s">
        <v>16</v>
      </c>
      <c r="Q711" s="16">
        <v>2958465</v>
      </c>
    </row>
    <row r="712" spans="1:17">
      <c r="A712" s="11">
        <f t="shared" si="11"/>
        <v>711</v>
      </c>
      <c r="B712" s="11">
        <v>8010072842</v>
      </c>
      <c r="C712" s="25" t="s">
        <v>821</v>
      </c>
      <c r="D712" s="27">
        <v>59400</v>
      </c>
      <c r="E712" s="11">
        <v>0.51</v>
      </c>
      <c r="F712" s="11" t="s">
        <v>11</v>
      </c>
      <c r="G712" s="44">
        <v>30294</v>
      </c>
      <c r="H712" s="28">
        <v>27291.89189189189</v>
      </c>
      <c r="I712" s="19" t="s">
        <v>654</v>
      </c>
      <c r="J712" s="19" t="s">
        <v>655</v>
      </c>
      <c r="K712" s="32" t="s">
        <v>656</v>
      </c>
      <c r="L712" s="22"/>
      <c r="M712" s="22"/>
      <c r="N712" s="22"/>
      <c r="O712" s="20" t="s">
        <v>15</v>
      </c>
      <c r="P712" s="25" t="s">
        <v>16</v>
      </c>
      <c r="Q712" s="16">
        <v>2958465</v>
      </c>
    </row>
    <row r="713" spans="1:17">
      <c r="A713" s="11">
        <f t="shared" si="11"/>
        <v>712</v>
      </c>
      <c r="B713" s="11">
        <v>8010072847</v>
      </c>
      <c r="C713" s="25" t="s">
        <v>822</v>
      </c>
      <c r="D713" s="27">
        <v>50700</v>
      </c>
      <c r="E713" s="11">
        <v>0.51</v>
      </c>
      <c r="F713" s="11" t="s">
        <v>11</v>
      </c>
      <c r="G713" s="44">
        <v>25857</v>
      </c>
      <c r="H713" s="28">
        <v>23294.594594594593</v>
      </c>
      <c r="I713" s="19" t="s">
        <v>654</v>
      </c>
      <c r="J713" s="19" t="s">
        <v>655</v>
      </c>
      <c r="K713" s="32" t="s">
        <v>656</v>
      </c>
      <c r="L713" s="22"/>
      <c r="M713" s="22"/>
      <c r="N713" s="22"/>
      <c r="O713" s="20" t="s">
        <v>15</v>
      </c>
      <c r="P713" s="25" t="s">
        <v>16</v>
      </c>
      <c r="Q713" s="16">
        <v>2958465</v>
      </c>
    </row>
    <row r="714" spans="1:17">
      <c r="A714" s="11">
        <f t="shared" si="11"/>
        <v>713</v>
      </c>
      <c r="B714" s="11">
        <v>8010072850</v>
      </c>
      <c r="C714" s="25" t="s">
        <v>823</v>
      </c>
      <c r="D714" s="27">
        <v>230800</v>
      </c>
      <c r="E714" s="11">
        <v>0.51</v>
      </c>
      <c r="F714" s="11" t="s">
        <v>11</v>
      </c>
      <c r="G714" s="44">
        <v>117708</v>
      </c>
      <c r="H714" s="28">
        <v>106043.24324324324</v>
      </c>
      <c r="I714" s="19" t="s">
        <v>654</v>
      </c>
      <c r="J714" s="19" t="s">
        <v>655</v>
      </c>
      <c r="K714" s="32" t="s">
        <v>656</v>
      </c>
      <c r="L714" s="22"/>
      <c r="M714" s="22"/>
      <c r="N714" s="22"/>
      <c r="O714" s="20" t="s">
        <v>15</v>
      </c>
      <c r="P714" s="25" t="s">
        <v>16</v>
      </c>
      <c r="Q714" s="16">
        <v>2958465</v>
      </c>
    </row>
    <row r="715" spans="1:17">
      <c r="A715" s="11">
        <f t="shared" si="11"/>
        <v>714</v>
      </c>
      <c r="B715" s="11">
        <v>8010072851</v>
      </c>
      <c r="C715" s="25" t="s">
        <v>824</v>
      </c>
      <c r="D715" s="27">
        <v>810600</v>
      </c>
      <c r="E715" s="11">
        <v>0.51</v>
      </c>
      <c r="F715" s="11" t="s">
        <v>11</v>
      </c>
      <c r="G715" s="44">
        <v>413406</v>
      </c>
      <c r="H715" s="28">
        <v>372437.83783783781</v>
      </c>
      <c r="I715" s="19" t="s">
        <v>654</v>
      </c>
      <c r="J715" s="19" t="s">
        <v>655</v>
      </c>
      <c r="K715" s="32" t="s">
        <v>656</v>
      </c>
      <c r="L715" s="22"/>
      <c r="M715" s="22"/>
      <c r="N715" s="22"/>
      <c r="O715" s="20" t="s">
        <v>15</v>
      </c>
      <c r="P715" s="25" t="s">
        <v>16</v>
      </c>
      <c r="Q715" s="16">
        <v>2958465</v>
      </c>
    </row>
    <row r="716" spans="1:17">
      <c r="A716" s="11">
        <f t="shared" si="11"/>
        <v>715</v>
      </c>
      <c r="B716" s="11">
        <v>8010072852</v>
      </c>
      <c r="C716" s="25" t="s">
        <v>825</v>
      </c>
      <c r="D716" s="27">
        <v>374700</v>
      </c>
      <c r="E716" s="11">
        <v>0.51</v>
      </c>
      <c r="F716" s="11" t="s">
        <v>11</v>
      </c>
      <c r="G716" s="44">
        <v>191097</v>
      </c>
      <c r="H716" s="28">
        <v>172159.45945945944</v>
      </c>
      <c r="I716" s="19" t="s">
        <v>654</v>
      </c>
      <c r="J716" s="19" t="s">
        <v>655</v>
      </c>
      <c r="K716" s="32" t="s">
        <v>656</v>
      </c>
      <c r="L716" s="22"/>
      <c r="M716" s="22"/>
      <c r="N716" s="22"/>
      <c r="O716" s="20" t="s">
        <v>15</v>
      </c>
      <c r="P716" s="25" t="s">
        <v>16</v>
      </c>
      <c r="Q716" s="16">
        <v>2958465</v>
      </c>
    </row>
    <row r="717" spans="1:17">
      <c r="A717" s="11">
        <f t="shared" si="11"/>
        <v>716</v>
      </c>
      <c r="B717" s="11">
        <v>8010072853</v>
      </c>
      <c r="C717" s="25" t="s">
        <v>826</v>
      </c>
      <c r="D717" s="27">
        <v>479700</v>
      </c>
      <c r="E717" s="11">
        <v>0.51</v>
      </c>
      <c r="F717" s="11" t="s">
        <v>11</v>
      </c>
      <c r="G717" s="44">
        <v>244647</v>
      </c>
      <c r="H717" s="28">
        <v>220402.70270270269</v>
      </c>
      <c r="I717" s="19" t="s">
        <v>654</v>
      </c>
      <c r="J717" s="19" t="s">
        <v>655</v>
      </c>
      <c r="K717" s="32" t="s">
        <v>656</v>
      </c>
      <c r="L717" s="22"/>
      <c r="M717" s="22"/>
      <c r="N717" s="22"/>
      <c r="O717" s="20" t="s">
        <v>15</v>
      </c>
      <c r="P717" s="25" t="s">
        <v>16</v>
      </c>
      <c r="Q717" s="16">
        <v>2958465</v>
      </c>
    </row>
    <row r="718" spans="1:17">
      <c r="A718" s="11">
        <f t="shared" si="11"/>
        <v>717</v>
      </c>
      <c r="B718" s="11">
        <v>8010072854</v>
      </c>
      <c r="C718" s="25" t="s">
        <v>827</v>
      </c>
      <c r="D718" s="27">
        <v>783700</v>
      </c>
      <c r="E718" s="11">
        <v>0.51</v>
      </c>
      <c r="F718" s="11" t="s">
        <v>11</v>
      </c>
      <c r="G718" s="44">
        <v>399687</v>
      </c>
      <c r="H718" s="28">
        <v>360078.37837837834</v>
      </c>
      <c r="I718" s="19" t="s">
        <v>654</v>
      </c>
      <c r="J718" s="19" t="s">
        <v>655</v>
      </c>
      <c r="K718" s="32" t="s">
        <v>656</v>
      </c>
      <c r="L718" s="22"/>
      <c r="M718" s="22"/>
      <c r="N718" s="22"/>
      <c r="O718" s="20" t="s">
        <v>15</v>
      </c>
      <c r="P718" s="25" t="s">
        <v>16</v>
      </c>
      <c r="Q718" s="16">
        <v>2958465</v>
      </c>
    </row>
    <row r="719" spans="1:17">
      <c r="A719" s="11">
        <f t="shared" si="11"/>
        <v>718</v>
      </c>
      <c r="B719" s="11">
        <v>8010072855</v>
      </c>
      <c r="C719" s="25" t="s">
        <v>828</v>
      </c>
      <c r="D719" s="27">
        <v>1280300</v>
      </c>
      <c r="E719" s="11">
        <v>0.51</v>
      </c>
      <c r="F719" s="11" t="s">
        <v>11</v>
      </c>
      <c r="G719" s="44">
        <v>652953</v>
      </c>
      <c r="H719" s="28">
        <v>588245.94594594592</v>
      </c>
      <c r="I719" s="19" t="s">
        <v>654</v>
      </c>
      <c r="J719" s="19" t="s">
        <v>655</v>
      </c>
      <c r="K719" s="32" t="s">
        <v>656</v>
      </c>
      <c r="L719" s="22"/>
      <c r="M719" s="22"/>
      <c r="N719" s="22"/>
      <c r="O719" s="20" t="s">
        <v>15</v>
      </c>
      <c r="P719" s="25" t="s">
        <v>16</v>
      </c>
      <c r="Q719" s="16">
        <v>2958465</v>
      </c>
    </row>
    <row r="720" spans="1:17">
      <c r="A720" s="11">
        <f t="shared" si="11"/>
        <v>719</v>
      </c>
      <c r="B720" s="11">
        <v>8010073016</v>
      </c>
      <c r="C720" s="25" t="s">
        <v>1054</v>
      </c>
      <c r="D720" s="27">
        <v>3200</v>
      </c>
      <c r="E720" s="11">
        <v>0.43</v>
      </c>
      <c r="F720" s="11" t="s">
        <v>11</v>
      </c>
      <c r="G720" s="44">
        <v>1376</v>
      </c>
      <c r="H720" s="28">
        <v>1239.6396396396394</v>
      </c>
      <c r="I720" s="19" t="s">
        <v>654</v>
      </c>
      <c r="J720" s="19" t="s">
        <v>655</v>
      </c>
      <c r="K720" s="32" t="s">
        <v>834</v>
      </c>
      <c r="L720" s="22"/>
      <c r="M720" s="22"/>
      <c r="N720" s="22"/>
      <c r="O720" s="20" t="s">
        <v>15</v>
      </c>
      <c r="P720" s="25" t="s">
        <v>16</v>
      </c>
      <c r="Q720" s="16">
        <v>2958465</v>
      </c>
    </row>
    <row r="721" spans="1:18">
      <c r="A721" s="11">
        <f t="shared" si="11"/>
        <v>720</v>
      </c>
      <c r="B721" s="11">
        <v>8010073616</v>
      </c>
      <c r="C721" s="25" t="s">
        <v>1250</v>
      </c>
      <c r="D721" s="27">
        <v>367582</v>
      </c>
      <c r="E721" s="11">
        <v>0.51</v>
      </c>
      <c r="F721" s="11" t="s">
        <v>11</v>
      </c>
      <c r="G721" s="44">
        <v>187467</v>
      </c>
      <c r="H721" s="28">
        <v>168889.18918918917</v>
      </c>
      <c r="I721" s="19" t="s">
        <v>654</v>
      </c>
      <c r="J721" s="19" t="s">
        <v>655</v>
      </c>
      <c r="K721" s="32" t="s">
        <v>656</v>
      </c>
      <c r="L721" s="22"/>
      <c r="M721" s="22"/>
      <c r="N721" s="22"/>
      <c r="O721" s="22" t="s">
        <v>15</v>
      </c>
      <c r="P721" s="25" t="s">
        <v>1251</v>
      </c>
      <c r="Q721" s="16">
        <v>2958465</v>
      </c>
      <c r="R721" s="24"/>
    </row>
    <row r="722" spans="1:18">
      <c r="A722" s="11">
        <f t="shared" si="11"/>
        <v>721</v>
      </c>
      <c r="B722" s="11">
        <v>8010073712</v>
      </c>
      <c r="C722" s="25" t="s">
        <v>829</v>
      </c>
      <c r="D722" s="27">
        <v>373400</v>
      </c>
      <c r="E722" s="11">
        <v>0.51</v>
      </c>
      <c r="F722" s="11" t="s">
        <v>11</v>
      </c>
      <c r="G722" s="44">
        <v>190434</v>
      </c>
      <c r="H722" s="28">
        <v>171562.16216216216</v>
      </c>
      <c r="I722" s="19" t="s">
        <v>654</v>
      </c>
      <c r="J722" s="19" t="s">
        <v>655</v>
      </c>
      <c r="K722" s="32" t="s">
        <v>656</v>
      </c>
      <c r="L722" s="22"/>
      <c r="M722" s="22"/>
      <c r="N722" s="22"/>
      <c r="O722" s="20" t="s">
        <v>15</v>
      </c>
      <c r="P722" s="25" t="s">
        <v>16</v>
      </c>
      <c r="Q722" s="16">
        <v>2958465</v>
      </c>
    </row>
    <row r="723" spans="1:18">
      <c r="A723" s="11">
        <f t="shared" si="11"/>
        <v>722</v>
      </c>
      <c r="B723" s="11">
        <v>8010073789</v>
      </c>
      <c r="C723" s="25" t="s">
        <v>1055</v>
      </c>
      <c r="D723" s="27">
        <v>5800</v>
      </c>
      <c r="E723" s="11">
        <v>0.43</v>
      </c>
      <c r="F723" s="11" t="s">
        <v>11</v>
      </c>
      <c r="G723" s="44">
        <v>2494</v>
      </c>
      <c r="H723" s="28">
        <v>2246.8468468468468</v>
      </c>
      <c r="I723" s="19" t="s">
        <v>654</v>
      </c>
      <c r="J723" s="19" t="s">
        <v>655</v>
      </c>
      <c r="K723" s="32" t="s">
        <v>834</v>
      </c>
      <c r="L723" s="22"/>
      <c r="M723" s="22"/>
      <c r="N723" s="22"/>
      <c r="O723" s="20" t="s">
        <v>15</v>
      </c>
      <c r="P723" s="25" t="s">
        <v>16</v>
      </c>
      <c r="Q723" s="16">
        <v>2958465</v>
      </c>
    </row>
    <row r="724" spans="1:18">
      <c r="A724" s="11">
        <f t="shared" si="11"/>
        <v>723</v>
      </c>
      <c r="B724" s="11">
        <v>8010073790</v>
      </c>
      <c r="C724" s="25" t="s">
        <v>1027</v>
      </c>
      <c r="D724" s="27">
        <v>18700</v>
      </c>
      <c r="E724" s="11">
        <v>0.43</v>
      </c>
      <c r="F724" s="11" t="s">
        <v>11</v>
      </c>
      <c r="G724" s="44">
        <v>8041</v>
      </c>
      <c r="H724" s="28">
        <v>7244.1441441441439</v>
      </c>
      <c r="I724" s="19" t="s">
        <v>654</v>
      </c>
      <c r="J724" s="19" t="s">
        <v>655</v>
      </c>
      <c r="K724" s="32" t="s">
        <v>834</v>
      </c>
      <c r="L724" s="22"/>
      <c r="M724" s="22"/>
      <c r="N724" s="22"/>
      <c r="O724" s="20" t="s">
        <v>15</v>
      </c>
      <c r="P724" s="25" t="s">
        <v>16</v>
      </c>
      <c r="Q724" s="16">
        <v>2958465</v>
      </c>
    </row>
    <row r="725" spans="1:18">
      <c r="A725" s="11">
        <f t="shared" si="11"/>
        <v>724</v>
      </c>
      <c r="B725" s="11">
        <v>8011021447</v>
      </c>
      <c r="C725" s="25" t="s">
        <v>1215</v>
      </c>
      <c r="D725" s="27">
        <v>134466</v>
      </c>
      <c r="E725" s="11">
        <v>0.56000000000000005</v>
      </c>
      <c r="F725" s="11" t="s">
        <v>11</v>
      </c>
      <c r="G725" s="44">
        <v>75301</v>
      </c>
      <c r="H725" s="28">
        <v>67838.738738738728</v>
      </c>
      <c r="I725" s="19" t="s">
        <v>107</v>
      </c>
      <c r="J725" s="19" t="s">
        <v>108</v>
      </c>
      <c r="K725" s="32" t="s">
        <v>109</v>
      </c>
      <c r="L725" s="22"/>
      <c r="M725" s="22"/>
      <c r="N725" s="22"/>
      <c r="O725" s="22" t="s">
        <v>15</v>
      </c>
      <c r="P725" s="25" t="s">
        <v>1211</v>
      </c>
      <c r="Q725" s="16">
        <v>2958465</v>
      </c>
      <c r="R725" s="24"/>
    </row>
    <row r="726" spans="1:18">
      <c r="A726" s="11">
        <f t="shared" si="11"/>
        <v>725</v>
      </c>
      <c r="B726" s="11">
        <v>8011021615</v>
      </c>
      <c r="C726" s="25" t="s">
        <v>1225</v>
      </c>
      <c r="D726" s="27">
        <v>255082</v>
      </c>
      <c r="E726" s="11">
        <v>0.56000000000000005</v>
      </c>
      <c r="F726" s="11" t="s">
        <v>11</v>
      </c>
      <c r="G726" s="44">
        <v>142846</v>
      </c>
      <c r="H726" s="28">
        <v>128690.09009009007</v>
      </c>
      <c r="I726" s="19" t="s">
        <v>107</v>
      </c>
      <c r="J726" s="19" t="s">
        <v>108</v>
      </c>
      <c r="K726" s="32" t="s">
        <v>109</v>
      </c>
      <c r="L726" s="22"/>
      <c r="M726" s="22"/>
      <c r="N726" s="22"/>
      <c r="O726" s="22" t="s">
        <v>15</v>
      </c>
      <c r="P726" s="25" t="s">
        <v>1211</v>
      </c>
      <c r="Q726" s="16">
        <v>2958465</v>
      </c>
      <c r="R726" s="24"/>
    </row>
    <row r="727" spans="1:18">
      <c r="A727" s="11">
        <f t="shared" si="11"/>
        <v>726</v>
      </c>
      <c r="B727" s="11">
        <v>8011021616</v>
      </c>
      <c r="C727" s="25" t="s">
        <v>1210</v>
      </c>
      <c r="D727" s="27">
        <v>113973</v>
      </c>
      <c r="E727" s="11">
        <v>0.56000000000000005</v>
      </c>
      <c r="F727" s="11" t="s">
        <v>11</v>
      </c>
      <c r="G727" s="44">
        <v>63825</v>
      </c>
      <c r="H727" s="28">
        <v>57499.999999999993</v>
      </c>
      <c r="I727" s="19" t="s">
        <v>107</v>
      </c>
      <c r="J727" s="19" t="s">
        <v>108</v>
      </c>
      <c r="K727" s="32" t="s">
        <v>109</v>
      </c>
      <c r="L727" s="22"/>
      <c r="M727" s="22"/>
      <c r="N727" s="22"/>
      <c r="O727" s="22" t="s">
        <v>15</v>
      </c>
      <c r="P727" s="25" t="s">
        <v>1211</v>
      </c>
      <c r="Q727" s="16">
        <v>2958465</v>
      </c>
      <c r="R727" s="24"/>
    </row>
    <row r="728" spans="1:18">
      <c r="A728" s="11">
        <f t="shared" si="11"/>
        <v>727</v>
      </c>
      <c r="B728" s="11">
        <v>8011021680</v>
      </c>
      <c r="C728" s="25" t="s">
        <v>1216</v>
      </c>
      <c r="D728" s="27">
        <v>401621</v>
      </c>
      <c r="E728" s="11">
        <v>0.56000000000000005</v>
      </c>
      <c r="F728" s="11" t="s">
        <v>11</v>
      </c>
      <c r="G728" s="44">
        <v>224908</v>
      </c>
      <c r="H728" s="28">
        <v>202619.81981981979</v>
      </c>
      <c r="I728" s="19" t="s">
        <v>107</v>
      </c>
      <c r="J728" s="19" t="s">
        <v>108</v>
      </c>
      <c r="K728" s="32" t="s">
        <v>109</v>
      </c>
      <c r="L728" s="22"/>
      <c r="M728" s="22"/>
      <c r="N728" s="22"/>
      <c r="O728" s="22" t="s">
        <v>15</v>
      </c>
      <c r="P728" s="25" t="s">
        <v>1211</v>
      </c>
      <c r="Q728" s="16">
        <v>2958465</v>
      </c>
      <c r="R728" s="24"/>
    </row>
    <row r="729" spans="1:18">
      <c r="A729" s="11">
        <f t="shared" si="11"/>
        <v>728</v>
      </c>
      <c r="B729" s="11">
        <v>8011021681</v>
      </c>
      <c r="C729" s="25" t="s">
        <v>1219</v>
      </c>
      <c r="D729" s="27">
        <v>195382</v>
      </c>
      <c r="E729" s="11">
        <v>0.56000000000000005</v>
      </c>
      <c r="F729" s="11" t="s">
        <v>11</v>
      </c>
      <c r="G729" s="44">
        <v>109414</v>
      </c>
      <c r="H729" s="28">
        <v>98571.171171171169</v>
      </c>
      <c r="I729" s="19" t="s">
        <v>107</v>
      </c>
      <c r="J729" s="19" t="s">
        <v>108</v>
      </c>
      <c r="K729" s="32" t="s">
        <v>109</v>
      </c>
      <c r="L729" s="22"/>
      <c r="M729" s="22"/>
      <c r="N729" s="22"/>
      <c r="O729" s="22" t="s">
        <v>15</v>
      </c>
      <c r="P729" s="25" t="s">
        <v>1211</v>
      </c>
      <c r="Q729" s="16">
        <v>2958465</v>
      </c>
      <c r="R729" s="24"/>
    </row>
    <row r="730" spans="1:18">
      <c r="A730" s="11">
        <f t="shared" si="11"/>
        <v>729</v>
      </c>
      <c r="B730" s="11">
        <v>8011021682</v>
      </c>
      <c r="C730" s="25" t="s">
        <v>1212</v>
      </c>
      <c r="D730" s="27">
        <v>275313</v>
      </c>
      <c r="E730" s="11">
        <v>0.56000000000000005</v>
      </c>
      <c r="F730" s="11" t="s">
        <v>11</v>
      </c>
      <c r="G730" s="44">
        <v>154175</v>
      </c>
      <c r="H730" s="28">
        <v>138896.39639639639</v>
      </c>
      <c r="I730" s="19" t="s">
        <v>107</v>
      </c>
      <c r="J730" s="19" t="s">
        <v>108</v>
      </c>
      <c r="K730" s="32" t="s">
        <v>109</v>
      </c>
      <c r="L730" s="22"/>
      <c r="M730" s="22"/>
      <c r="N730" s="22"/>
      <c r="O730" s="22" t="s">
        <v>15</v>
      </c>
      <c r="P730" s="25" t="s">
        <v>1211</v>
      </c>
      <c r="Q730" s="16">
        <v>2958465</v>
      </c>
      <c r="R730" s="24"/>
    </row>
    <row r="731" spans="1:18">
      <c r="A731" s="11">
        <f t="shared" si="11"/>
        <v>730</v>
      </c>
      <c r="B731" s="11">
        <v>8011021683</v>
      </c>
      <c r="C731" s="25" t="s">
        <v>1213</v>
      </c>
      <c r="D731" s="27">
        <v>350801</v>
      </c>
      <c r="E731" s="11">
        <v>0.56000000000000005</v>
      </c>
      <c r="F731" s="11" t="s">
        <v>11</v>
      </c>
      <c r="G731" s="44">
        <v>196449</v>
      </c>
      <c r="H731" s="28">
        <v>176981.08108108107</v>
      </c>
      <c r="I731" s="19" t="s">
        <v>107</v>
      </c>
      <c r="J731" s="19" t="s">
        <v>108</v>
      </c>
      <c r="K731" s="32" t="s">
        <v>109</v>
      </c>
      <c r="L731" s="22"/>
      <c r="M731" s="22"/>
      <c r="N731" s="22"/>
      <c r="O731" s="22" t="s">
        <v>15</v>
      </c>
      <c r="P731" s="25" t="s">
        <v>1211</v>
      </c>
      <c r="Q731" s="16">
        <v>2958465</v>
      </c>
      <c r="R731" s="24"/>
    </row>
    <row r="732" spans="1:18">
      <c r="A732" s="11">
        <f t="shared" si="11"/>
        <v>731</v>
      </c>
      <c r="B732" s="11">
        <v>8011021684</v>
      </c>
      <c r="C732" s="25" t="s">
        <v>1214</v>
      </c>
      <c r="D732" s="27">
        <v>462799</v>
      </c>
      <c r="E732" s="11">
        <v>0.56000000000000005</v>
      </c>
      <c r="F732" s="11" t="s">
        <v>11</v>
      </c>
      <c r="G732" s="44">
        <v>259167</v>
      </c>
      <c r="H732" s="28">
        <v>233483.78378378376</v>
      </c>
      <c r="I732" s="19" t="s">
        <v>107</v>
      </c>
      <c r="J732" s="19" t="s">
        <v>108</v>
      </c>
      <c r="K732" s="32" t="s">
        <v>109</v>
      </c>
      <c r="L732" s="22"/>
      <c r="M732" s="22"/>
      <c r="N732" s="22"/>
      <c r="O732" s="22" t="s">
        <v>15</v>
      </c>
      <c r="P732" s="25" t="s">
        <v>1211</v>
      </c>
      <c r="Q732" s="16">
        <v>2958465</v>
      </c>
      <c r="R732" s="24"/>
    </row>
    <row r="733" spans="1:18">
      <c r="A733" s="11">
        <f t="shared" si="11"/>
        <v>732</v>
      </c>
      <c r="B733" s="11">
        <v>8011021685</v>
      </c>
      <c r="C733" s="25" t="s">
        <v>1217</v>
      </c>
      <c r="D733" s="27">
        <v>574800</v>
      </c>
      <c r="E733" s="11">
        <v>0.56000000000000005</v>
      </c>
      <c r="F733" s="11" t="s">
        <v>11</v>
      </c>
      <c r="G733" s="44">
        <v>321888</v>
      </c>
      <c r="H733" s="28">
        <v>289989.18918918917</v>
      </c>
      <c r="I733" s="19" t="s">
        <v>107</v>
      </c>
      <c r="J733" s="19" t="s">
        <v>108</v>
      </c>
      <c r="K733" s="32" t="s">
        <v>109</v>
      </c>
      <c r="L733" s="22"/>
      <c r="M733" s="22"/>
      <c r="N733" s="22"/>
      <c r="O733" s="22" t="s">
        <v>15</v>
      </c>
      <c r="P733" s="25" t="s">
        <v>1211</v>
      </c>
      <c r="Q733" s="16">
        <v>2958465</v>
      </c>
      <c r="R733" s="24"/>
    </row>
    <row r="734" spans="1:18">
      <c r="A734" s="11">
        <f t="shared" si="11"/>
        <v>733</v>
      </c>
      <c r="B734" s="11">
        <v>8011021686</v>
      </c>
      <c r="C734" s="25" t="s">
        <v>1218</v>
      </c>
      <c r="D734" s="27">
        <v>770675</v>
      </c>
      <c r="E734" s="11">
        <v>0.56000000000000005</v>
      </c>
      <c r="F734" s="11" t="s">
        <v>11</v>
      </c>
      <c r="G734" s="44">
        <v>431578</v>
      </c>
      <c r="H734" s="28">
        <v>388809.00900900899</v>
      </c>
      <c r="I734" s="19" t="s">
        <v>107</v>
      </c>
      <c r="J734" s="19" t="s">
        <v>108</v>
      </c>
      <c r="K734" s="32" t="s">
        <v>109</v>
      </c>
      <c r="L734" s="22"/>
      <c r="M734" s="22"/>
      <c r="N734" s="22"/>
      <c r="O734" s="22" t="s">
        <v>15</v>
      </c>
      <c r="P734" s="25" t="s">
        <v>1211</v>
      </c>
      <c r="Q734" s="16">
        <v>2958465</v>
      </c>
      <c r="R734" s="24"/>
    </row>
    <row r="735" spans="1:18">
      <c r="A735" s="11">
        <f t="shared" si="11"/>
        <v>734</v>
      </c>
      <c r="B735" s="11">
        <v>8011021687</v>
      </c>
      <c r="C735" s="25" t="s">
        <v>1220</v>
      </c>
      <c r="D735" s="27">
        <v>466255</v>
      </c>
      <c r="E735" s="11">
        <v>0.56000000000000005</v>
      </c>
      <c r="F735" s="11" t="s">
        <v>11</v>
      </c>
      <c r="G735" s="44">
        <v>261103</v>
      </c>
      <c r="H735" s="28">
        <v>235227.9279279279</v>
      </c>
      <c r="I735" s="19" t="s">
        <v>107</v>
      </c>
      <c r="J735" s="19" t="s">
        <v>108</v>
      </c>
      <c r="K735" s="32" t="s">
        <v>109</v>
      </c>
      <c r="L735" s="22"/>
      <c r="M735" s="22"/>
      <c r="N735" s="22"/>
      <c r="O735" s="22" t="s">
        <v>15</v>
      </c>
      <c r="P735" s="25" t="s">
        <v>1211</v>
      </c>
      <c r="Q735" s="16">
        <v>2958465</v>
      </c>
      <c r="R735" s="24"/>
    </row>
    <row r="736" spans="1:18">
      <c r="A736" s="11">
        <f t="shared" si="11"/>
        <v>735</v>
      </c>
      <c r="B736" s="11">
        <v>8011021688</v>
      </c>
      <c r="C736" s="25" t="s">
        <v>1221</v>
      </c>
      <c r="D736" s="27">
        <v>703574</v>
      </c>
      <c r="E736" s="11">
        <v>0.56000000000000005</v>
      </c>
      <c r="F736" s="11" t="s">
        <v>11</v>
      </c>
      <c r="G736" s="44">
        <v>394001</v>
      </c>
      <c r="H736" s="28">
        <v>354955.8558558558</v>
      </c>
      <c r="I736" s="19" t="s">
        <v>107</v>
      </c>
      <c r="J736" s="19" t="s">
        <v>108</v>
      </c>
      <c r="K736" s="32" t="s">
        <v>109</v>
      </c>
      <c r="L736" s="22"/>
      <c r="M736" s="22"/>
      <c r="N736" s="22"/>
      <c r="O736" s="22" t="s">
        <v>15</v>
      </c>
      <c r="P736" s="25" t="s">
        <v>1211</v>
      </c>
      <c r="Q736" s="16">
        <v>2958465</v>
      </c>
      <c r="R736" s="24"/>
    </row>
    <row r="737" spans="1:18">
      <c r="A737" s="11">
        <f t="shared" si="11"/>
        <v>736</v>
      </c>
      <c r="B737" s="11">
        <v>8011021689</v>
      </c>
      <c r="C737" s="25" t="s">
        <v>1222</v>
      </c>
      <c r="D737" s="27">
        <v>224986</v>
      </c>
      <c r="E737" s="11">
        <v>0.56000000000000005</v>
      </c>
      <c r="F737" s="11" t="s">
        <v>11</v>
      </c>
      <c r="G737" s="44">
        <v>125992</v>
      </c>
      <c r="H737" s="28">
        <v>113506.3063063063</v>
      </c>
      <c r="I737" s="19" t="s">
        <v>107</v>
      </c>
      <c r="J737" s="19" t="s">
        <v>108</v>
      </c>
      <c r="K737" s="32" t="s">
        <v>109</v>
      </c>
      <c r="L737" s="22"/>
      <c r="M737" s="22"/>
      <c r="N737" s="22"/>
      <c r="O737" s="22" t="s">
        <v>15</v>
      </c>
      <c r="P737" s="25" t="s">
        <v>1211</v>
      </c>
      <c r="Q737" s="16">
        <v>2958465</v>
      </c>
      <c r="R737" s="24"/>
    </row>
    <row r="738" spans="1:18">
      <c r="A738" s="11">
        <f t="shared" si="11"/>
        <v>737</v>
      </c>
      <c r="B738" s="11">
        <v>8011021690</v>
      </c>
      <c r="C738" s="25" t="s">
        <v>1223</v>
      </c>
      <c r="D738" s="27">
        <v>339946</v>
      </c>
      <c r="E738" s="11">
        <v>0.56000000000000005</v>
      </c>
      <c r="F738" s="11" t="s">
        <v>11</v>
      </c>
      <c r="G738" s="44">
        <v>190370</v>
      </c>
      <c r="H738" s="28">
        <v>171504.5045045045</v>
      </c>
      <c r="I738" s="19" t="s">
        <v>107</v>
      </c>
      <c r="J738" s="19" t="s">
        <v>108</v>
      </c>
      <c r="K738" s="32" t="s">
        <v>109</v>
      </c>
      <c r="L738" s="22"/>
      <c r="M738" s="22"/>
      <c r="N738" s="22"/>
      <c r="O738" s="22" t="s">
        <v>15</v>
      </c>
      <c r="P738" s="25" t="s">
        <v>1211</v>
      </c>
      <c r="Q738" s="16">
        <v>2958465</v>
      </c>
      <c r="R738" s="24"/>
    </row>
    <row r="739" spans="1:18">
      <c r="A739" s="11">
        <f t="shared" si="11"/>
        <v>738</v>
      </c>
      <c r="B739" s="11">
        <v>8011021691</v>
      </c>
      <c r="C739" s="25" t="s">
        <v>1224</v>
      </c>
      <c r="D739" s="27">
        <v>434185</v>
      </c>
      <c r="E739" s="11">
        <v>0.56000000000000005</v>
      </c>
      <c r="F739" s="11" t="s">
        <v>11</v>
      </c>
      <c r="G739" s="44">
        <v>243144</v>
      </c>
      <c r="H739" s="28">
        <v>219048.64864864864</v>
      </c>
      <c r="I739" s="19" t="s">
        <v>107</v>
      </c>
      <c r="J739" s="19" t="s">
        <v>108</v>
      </c>
      <c r="K739" s="32" t="s">
        <v>109</v>
      </c>
      <c r="L739" s="22"/>
      <c r="M739" s="22"/>
      <c r="N739" s="22"/>
      <c r="O739" s="22" t="s">
        <v>15</v>
      </c>
      <c r="P739" s="25" t="s">
        <v>1211</v>
      </c>
      <c r="Q739" s="16">
        <v>2958465</v>
      </c>
      <c r="R739" s="24"/>
    </row>
    <row r="740" spans="1:18">
      <c r="A740" s="11">
        <f t="shared" si="11"/>
        <v>739</v>
      </c>
      <c r="B740" s="11">
        <v>8011021692</v>
      </c>
      <c r="C740" s="25" t="s">
        <v>1226</v>
      </c>
      <c r="D740" s="27">
        <v>335013</v>
      </c>
      <c r="E740" s="11">
        <v>0.56000000000000005</v>
      </c>
      <c r="F740" s="11" t="s">
        <v>11</v>
      </c>
      <c r="G740" s="44">
        <v>187607</v>
      </c>
      <c r="H740" s="28">
        <v>169015.3153153153</v>
      </c>
      <c r="I740" s="19" t="s">
        <v>107</v>
      </c>
      <c r="J740" s="19" t="s">
        <v>108</v>
      </c>
      <c r="K740" s="32" t="s">
        <v>109</v>
      </c>
      <c r="L740" s="22"/>
      <c r="M740" s="22"/>
      <c r="N740" s="22"/>
      <c r="O740" s="22" t="s">
        <v>15</v>
      </c>
      <c r="P740" s="25" t="s">
        <v>1211</v>
      </c>
      <c r="Q740" s="16">
        <v>2958465</v>
      </c>
      <c r="R740" s="24"/>
    </row>
    <row r="741" spans="1:18">
      <c r="A741" s="11">
        <f t="shared" si="11"/>
        <v>740</v>
      </c>
      <c r="B741" s="11">
        <v>8011021693</v>
      </c>
      <c r="C741" s="25" t="s">
        <v>1227</v>
      </c>
      <c r="D741" s="27">
        <v>482043</v>
      </c>
      <c r="E741" s="11">
        <v>0.56000000000000005</v>
      </c>
      <c r="F741" s="11" t="s">
        <v>11</v>
      </c>
      <c r="G741" s="44">
        <v>269944</v>
      </c>
      <c r="H741" s="28">
        <v>243192.79279279278</v>
      </c>
      <c r="I741" s="19" t="s">
        <v>107</v>
      </c>
      <c r="J741" s="19" t="s">
        <v>108</v>
      </c>
      <c r="K741" s="32" t="s">
        <v>109</v>
      </c>
      <c r="L741" s="22"/>
      <c r="M741" s="22"/>
      <c r="N741" s="22"/>
      <c r="O741" s="22" t="s">
        <v>15</v>
      </c>
      <c r="P741" s="25" t="s">
        <v>1211</v>
      </c>
      <c r="Q741" s="16">
        <v>2958465</v>
      </c>
      <c r="R741" s="24"/>
    </row>
    <row r="742" spans="1:18">
      <c r="A742" s="11">
        <f t="shared" si="11"/>
        <v>741</v>
      </c>
      <c r="B742" s="11">
        <v>8011021810</v>
      </c>
      <c r="C742" s="25" t="s">
        <v>1201</v>
      </c>
      <c r="D742" s="27">
        <v>6460</v>
      </c>
      <c r="E742" s="11">
        <v>0.56000000000000005</v>
      </c>
      <c r="F742" s="11" t="s">
        <v>11</v>
      </c>
      <c r="G742" s="44">
        <v>3618</v>
      </c>
      <c r="H742" s="28">
        <v>3259.4594594594591</v>
      </c>
      <c r="I742" s="19" t="s">
        <v>107</v>
      </c>
      <c r="J742" s="19" t="s">
        <v>108</v>
      </c>
      <c r="K742" s="32" t="s">
        <v>265</v>
      </c>
      <c r="L742" s="22"/>
      <c r="M742" s="22"/>
      <c r="N742" s="22"/>
      <c r="O742" s="22" t="s">
        <v>15</v>
      </c>
      <c r="P742" s="25" t="s">
        <v>1202</v>
      </c>
      <c r="Q742" s="16">
        <v>2958465</v>
      </c>
      <c r="R742" s="24"/>
    </row>
    <row r="743" spans="1:18">
      <c r="A743" s="11">
        <f t="shared" si="11"/>
        <v>742</v>
      </c>
      <c r="B743" s="11">
        <v>8011021811</v>
      </c>
      <c r="C743" s="25" t="s">
        <v>1203</v>
      </c>
      <c r="D743" s="27">
        <v>7924</v>
      </c>
      <c r="E743" s="11">
        <v>0.56000000000000005</v>
      </c>
      <c r="F743" s="11" t="s">
        <v>11</v>
      </c>
      <c r="G743" s="44">
        <v>4437</v>
      </c>
      <c r="H743" s="28">
        <v>3997.2972972972971</v>
      </c>
      <c r="I743" s="19" t="s">
        <v>107</v>
      </c>
      <c r="J743" s="19" t="s">
        <v>108</v>
      </c>
      <c r="K743" s="32" t="s">
        <v>265</v>
      </c>
      <c r="L743" s="22"/>
      <c r="M743" s="22"/>
      <c r="N743" s="22"/>
      <c r="O743" s="22" t="s">
        <v>15</v>
      </c>
      <c r="P743" s="25" t="s">
        <v>1202</v>
      </c>
      <c r="Q743" s="16">
        <v>2958465</v>
      </c>
      <c r="R743" s="24"/>
    </row>
    <row r="744" spans="1:18">
      <c r="A744" s="11">
        <f t="shared" si="11"/>
        <v>743</v>
      </c>
      <c r="B744" s="11">
        <v>8011021823</v>
      </c>
      <c r="C744" s="25" t="s">
        <v>1228</v>
      </c>
      <c r="D744" s="27">
        <v>987273</v>
      </c>
      <c r="E744" s="11">
        <v>0.56000000000000005</v>
      </c>
      <c r="F744" s="11" t="s">
        <v>11</v>
      </c>
      <c r="G744" s="44">
        <v>552873</v>
      </c>
      <c r="H744" s="28">
        <v>498083.78378378373</v>
      </c>
      <c r="I744" s="19" t="s">
        <v>107</v>
      </c>
      <c r="J744" s="19" t="s">
        <v>108</v>
      </c>
      <c r="K744" s="32" t="s">
        <v>109</v>
      </c>
      <c r="L744" s="22"/>
      <c r="M744" s="22"/>
      <c r="N744" s="22"/>
      <c r="O744" s="22" t="s">
        <v>15</v>
      </c>
      <c r="P744" s="25" t="s">
        <v>1211</v>
      </c>
      <c r="Q744" s="16">
        <v>2958465</v>
      </c>
      <c r="R744" s="24"/>
    </row>
    <row r="745" spans="1:18">
      <c r="A745" s="11">
        <f t="shared" si="11"/>
        <v>744</v>
      </c>
      <c r="B745" s="11">
        <v>8020010018</v>
      </c>
      <c r="C745" s="25" t="s">
        <v>328</v>
      </c>
      <c r="D745" s="27">
        <v>207750</v>
      </c>
      <c r="E745" s="11">
        <v>0.64</v>
      </c>
      <c r="F745" s="11" t="s">
        <v>11</v>
      </c>
      <c r="G745" s="44">
        <v>132960</v>
      </c>
      <c r="H745" s="28">
        <v>119783.78378378377</v>
      </c>
      <c r="I745" s="19" t="s">
        <v>12</v>
      </c>
      <c r="J745" s="19" t="s">
        <v>13</v>
      </c>
      <c r="K745" s="32" t="s">
        <v>326</v>
      </c>
      <c r="L745" s="22"/>
      <c r="M745" s="22"/>
      <c r="N745" s="22"/>
      <c r="O745" s="20" t="s">
        <v>15</v>
      </c>
      <c r="P745" s="25" t="s">
        <v>16</v>
      </c>
      <c r="Q745" s="16">
        <v>2958465</v>
      </c>
    </row>
    <row r="746" spans="1:18">
      <c r="A746" s="11">
        <f t="shared" si="11"/>
        <v>745</v>
      </c>
      <c r="B746" s="11">
        <v>8020010044</v>
      </c>
      <c r="C746" s="25" t="s">
        <v>329</v>
      </c>
      <c r="D746" s="27">
        <v>382023</v>
      </c>
      <c r="E746" s="11">
        <v>0.64</v>
      </c>
      <c r="F746" s="11" t="s">
        <v>11</v>
      </c>
      <c r="G746" s="44">
        <v>244495</v>
      </c>
      <c r="H746" s="28">
        <v>220265.76576576574</v>
      </c>
      <c r="I746" s="19" t="s">
        <v>12</v>
      </c>
      <c r="J746" s="19" t="s">
        <v>13</v>
      </c>
      <c r="K746" s="32" t="s">
        <v>326</v>
      </c>
      <c r="L746" s="22"/>
      <c r="M746" s="22"/>
      <c r="N746" s="22"/>
      <c r="O746" s="20" t="s">
        <v>15</v>
      </c>
      <c r="P746" s="25" t="s">
        <v>16</v>
      </c>
      <c r="Q746" s="16">
        <v>2958465</v>
      </c>
    </row>
    <row r="747" spans="1:18">
      <c r="A747" s="11">
        <f t="shared" si="11"/>
        <v>746</v>
      </c>
      <c r="B747" s="11">
        <v>8020010083</v>
      </c>
      <c r="C747" s="25" t="s">
        <v>330</v>
      </c>
      <c r="D747" s="27">
        <v>38786</v>
      </c>
      <c r="E747" s="11">
        <v>0.64</v>
      </c>
      <c r="F747" s="11" t="s">
        <v>11</v>
      </c>
      <c r="G747" s="44">
        <v>24823</v>
      </c>
      <c r="H747" s="28">
        <v>22363.063063063062</v>
      </c>
      <c r="I747" s="19" t="s">
        <v>12</v>
      </c>
      <c r="J747" s="19" t="s">
        <v>13</v>
      </c>
      <c r="K747" s="32" t="s">
        <v>326</v>
      </c>
      <c r="L747" s="22"/>
      <c r="M747" s="22"/>
      <c r="N747" s="22"/>
      <c r="O747" s="20" t="s">
        <v>15</v>
      </c>
      <c r="P747" s="25" t="s">
        <v>16</v>
      </c>
      <c r="Q747" s="16">
        <v>2958465</v>
      </c>
    </row>
    <row r="748" spans="1:18">
      <c r="A748" s="11">
        <f t="shared" si="11"/>
        <v>747</v>
      </c>
      <c r="B748" s="11">
        <v>8020010109</v>
      </c>
      <c r="C748" s="25" t="s">
        <v>327</v>
      </c>
      <c r="D748" s="27">
        <v>60326</v>
      </c>
      <c r="E748" s="11">
        <v>0.64</v>
      </c>
      <c r="F748" s="11" t="s">
        <v>11</v>
      </c>
      <c r="G748" s="44">
        <v>38609</v>
      </c>
      <c r="H748" s="28">
        <v>34782.882882882877</v>
      </c>
      <c r="I748" s="19" t="s">
        <v>12</v>
      </c>
      <c r="J748" s="19" t="s">
        <v>13</v>
      </c>
      <c r="K748" s="32" t="s">
        <v>326</v>
      </c>
      <c r="L748" s="22"/>
      <c r="M748" s="22"/>
      <c r="N748" s="22"/>
      <c r="O748" s="20" t="s">
        <v>15</v>
      </c>
      <c r="P748" s="25" t="s">
        <v>16</v>
      </c>
      <c r="Q748" s="16">
        <v>2958465</v>
      </c>
    </row>
    <row r="749" spans="1:18">
      <c r="A749" s="11">
        <f t="shared" si="11"/>
        <v>748</v>
      </c>
      <c r="B749" s="11">
        <v>8020010140</v>
      </c>
      <c r="C749" s="25" t="s">
        <v>325</v>
      </c>
      <c r="D749" s="27">
        <v>103028</v>
      </c>
      <c r="E749" s="11">
        <v>0.64</v>
      </c>
      <c r="F749" s="11" t="s">
        <v>11</v>
      </c>
      <c r="G749" s="44">
        <v>65938</v>
      </c>
      <c r="H749" s="28">
        <v>59403.603603603595</v>
      </c>
      <c r="I749" s="19" t="s">
        <v>12</v>
      </c>
      <c r="J749" s="19" t="s">
        <v>13</v>
      </c>
      <c r="K749" s="32" t="s">
        <v>326</v>
      </c>
      <c r="L749" s="22"/>
      <c r="M749" s="22"/>
      <c r="N749" s="22"/>
      <c r="O749" s="20" t="s">
        <v>15</v>
      </c>
      <c r="P749" s="25" t="s">
        <v>16</v>
      </c>
      <c r="Q749" s="16">
        <v>2958465</v>
      </c>
    </row>
    <row r="750" spans="1:18">
      <c r="A750" s="11">
        <f t="shared" si="11"/>
        <v>749</v>
      </c>
      <c r="B750" s="11">
        <v>8020010187</v>
      </c>
      <c r="C750" s="25" t="s">
        <v>1204</v>
      </c>
      <c r="D750" s="27">
        <v>267223</v>
      </c>
      <c r="E750" s="11">
        <v>0.64</v>
      </c>
      <c r="F750" s="11" t="s">
        <v>11</v>
      </c>
      <c r="G750" s="44">
        <v>171023</v>
      </c>
      <c r="H750" s="28">
        <v>154074.77477477476</v>
      </c>
      <c r="I750" s="19" t="s">
        <v>12</v>
      </c>
      <c r="J750" s="19" t="s">
        <v>13</v>
      </c>
      <c r="K750" s="32" t="s">
        <v>326</v>
      </c>
      <c r="L750" s="22"/>
      <c r="M750" s="22"/>
      <c r="N750" s="22"/>
      <c r="O750" s="22" t="s">
        <v>15</v>
      </c>
      <c r="P750" s="25" t="s">
        <v>1205</v>
      </c>
      <c r="Q750" s="16">
        <v>2958465</v>
      </c>
      <c r="R750" s="24"/>
    </row>
    <row r="751" spans="1:18">
      <c r="A751" s="11">
        <f t="shared" si="11"/>
        <v>750</v>
      </c>
      <c r="B751" s="12">
        <v>8020012377</v>
      </c>
      <c r="C751" s="30" t="s">
        <v>1284</v>
      </c>
      <c r="D751" s="30"/>
      <c r="E751" s="30"/>
      <c r="F751" s="30"/>
      <c r="G751" s="43">
        <v>23396</v>
      </c>
      <c r="H751" s="31">
        <v>21077.477477477474</v>
      </c>
      <c r="I751" s="13" t="s">
        <v>12</v>
      </c>
      <c r="J751" s="13" t="s">
        <v>13</v>
      </c>
      <c r="K751" s="14" t="s">
        <v>1265</v>
      </c>
      <c r="L751" s="12" t="s">
        <v>1266</v>
      </c>
      <c r="M751" s="12" t="s">
        <v>11</v>
      </c>
      <c r="N751" s="15" t="s">
        <v>1267</v>
      </c>
      <c r="O751" s="15" t="s">
        <v>15</v>
      </c>
      <c r="P751" s="12" t="s">
        <v>16</v>
      </c>
      <c r="Q751" s="16">
        <v>2958465</v>
      </c>
    </row>
    <row r="752" spans="1:18">
      <c r="A752" s="11">
        <f t="shared" si="11"/>
        <v>751</v>
      </c>
      <c r="B752" s="12">
        <v>8020012378</v>
      </c>
      <c r="C752" s="30" t="s">
        <v>1285</v>
      </c>
      <c r="D752" s="30"/>
      <c r="E752" s="30"/>
      <c r="F752" s="30"/>
      <c r="G752" s="43">
        <v>26468</v>
      </c>
      <c r="H752" s="31">
        <v>23845.045045045044</v>
      </c>
      <c r="I752" s="13" t="s">
        <v>12</v>
      </c>
      <c r="J752" s="13" t="s">
        <v>13</v>
      </c>
      <c r="K752" s="14" t="s">
        <v>1265</v>
      </c>
      <c r="L752" s="12" t="s">
        <v>1266</v>
      </c>
      <c r="M752" s="12" t="s">
        <v>11</v>
      </c>
      <c r="N752" s="15" t="s">
        <v>1267</v>
      </c>
      <c r="O752" s="15" t="s">
        <v>15</v>
      </c>
      <c r="P752" s="12" t="s">
        <v>16</v>
      </c>
      <c r="Q752" s="16">
        <v>2958465</v>
      </c>
    </row>
    <row r="753" spans="1:18">
      <c r="A753" s="11">
        <f t="shared" si="11"/>
        <v>752</v>
      </c>
      <c r="B753" s="12">
        <v>8020012379</v>
      </c>
      <c r="C753" s="30" t="s">
        <v>1286</v>
      </c>
      <c r="D753" s="30"/>
      <c r="E753" s="30"/>
      <c r="F753" s="30"/>
      <c r="G753" s="43">
        <v>34149</v>
      </c>
      <c r="H753" s="31">
        <v>30764.864864864863</v>
      </c>
      <c r="I753" s="13" t="s">
        <v>12</v>
      </c>
      <c r="J753" s="13" t="s">
        <v>13</v>
      </c>
      <c r="K753" s="14" t="s">
        <v>1265</v>
      </c>
      <c r="L753" s="12" t="s">
        <v>1266</v>
      </c>
      <c r="M753" s="12" t="s">
        <v>11</v>
      </c>
      <c r="N753" s="15" t="s">
        <v>1267</v>
      </c>
      <c r="O753" s="15" t="s">
        <v>15</v>
      </c>
      <c r="P753" s="12" t="s">
        <v>16</v>
      </c>
      <c r="Q753" s="16">
        <v>2958465</v>
      </c>
    </row>
    <row r="754" spans="1:18">
      <c r="A754" s="11">
        <f t="shared" si="11"/>
        <v>753</v>
      </c>
      <c r="B754" s="12">
        <v>8020012380</v>
      </c>
      <c r="C754" s="30" t="s">
        <v>1287</v>
      </c>
      <c r="D754" s="30"/>
      <c r="E754" s="30"/>
      <c r="F754" s="30"/>
      <c r="G754" s="43">
        <v>45843</v>
      </c>
      <c r="H754" s="31">
        <v>41300</v>
      </c>
      <c r="I754" s="13" t="s">
        <v>12</v>
      </c>
      <c r="J754" s="13" t="s">
        <v>13</v>
      </c>
      <c r="K754" s="14" t="s">
        <v>1265</v>
      </c>
      <c r="L754" s="12" t="s">
        <v>1266</v>
      </c>
      <c r="M754" s="12" t="s">
        <v>11</v>
      </c>
      <c r="N754" s="15" t="s">
        <v>1267</v>
      </c>
      <c r="O754" s="15" t="s">
        <v>15</v>
      </c>
      <c r="P754" s="12" t="s">
        <v>16</v>
      </c>
      <c r="Q754" s="16">
        <v>2958465</v>
      </c>
    </row>
    <row r="755" spans="1:18">
      <c r="A755" s="11">
        <f t="shared" si="11"/>
        <v>754</v>
      </c>
      <c r="B755" s="12">
        <v>8020012381</v>
      </c>
      <c r="C755" s="30" t="s">
        <v>1288</v>
      </c>
      <c r="D755" s="30"/>
      <c r="E755" s="30"/>
      <c r="F755" s="30"/>
      <c r="G755" s="43">
        <v>64591</v>
      </c>
      <c r="H755" s="31">
        <v>58190.090090090082</v>
      </c>
      <c r="I755" s="13" t="s">
        <v>12</v>
      </c>
      <c r="J755" s="13" t="s">
        <v>13</v>
      </c>
      <c r="K755" s="14" t="s">
        <v>1265</v>
      </c>
      <c r="L755" s="12" t="s">
        <v>1266</v>
      </c>
      <c r="M755" s="12" t="s">
        <v>11</v>
      </c>
      <c r="N755" s="15" t="s">
        <v>1267</v>
      </c>
      <c r="O755" s="15" t="s">
        <v>15</v>
      </c>
      <c r="P755" s="12" t="s">
        <v>16</v>
      </c>
      <c r="Q755" s="16">
        <v>2958465</v>
      </c>
    </row>
    <row r="756" spans="1:18">
      <c r="A756" s="11">
        <f t="shared" si="11"/>
        <v>755</v>
      </c>
      <c r="B756" s="12">
        <v>8020012382</v>
      </c>
      <c r="C756" s="30" t="s">
        <v>1289</v>
      </c>
      <c r="D756" s="30"/>
      <c r="E756" s="30"/>
      <c r="F756" s="30"/>
      <c r="G756" s="43">
        <v>96213</v>
      </c>
      <c r="H756" s="31">
        <v>86678.378378378373</v>
      </c>
      <c r="I756" s="13" t="s">
        <v>12</v>
      </c>
      <c r="J756" s="13" t="s">
        <v>13</v>
      </c>
      <c r="K756" s="14" t="s">
        <v>1265</v>
      </c>
      <c r="L756" s="12" t="s">
        <v>1266</v>
      </c>
      <c r="M756" s="12" t="s">
        <v>11</v>
      </c>
      <c r="N756" s="15" t="s">
        <v>1267</v>
      </c>
      <c r="O756" s="15" t="s">
        <v>15</v>
      </c>
      <c r="P756" s="12" t="s">
        <v>16</v>
      </c>
      <c r="Q756" s="16">
        <v>2958465</v>
      </c>
    </row>
    <row r="757" spans="1:18">
      <c r="A757" s="11">
        <f t="shared" si="11"/>
        <v>756</v>
      </c>
      <c r="B757" s="12">
        <v>8020012383</v>
      </c>
      <c r="C757" s="30" t="s">
        <v>1290</v>
      </c>
      <c r="D757" s="30"/>
      <c r="E757" s="30"/>
      <c r="F757" s="30"/>
      <c r="G757" s="43">
        <v>195234</v>
      </c>
      <c r="H757" s="31">
        <v>175886.48648648648</v>
      </c>
      <c r="I757" s="13" t="s">
        <v>12</v>
      </c>
      <c r="J757" s="13" t="s">
        <v>13</v>
      </c>
      <c r="K757" s="14" t="s">
        <v>1265</v>
      </c>
      <c r="L757" s="12" t="s">
        <v>1266</v>
      </c>
      <c r="M757" s="12" t="s">
        <v>11</v>
      </c>
      <c r="N757" s="15" t="s">
        <v>1267</v>
      </c>
      <c r="O757" s="15" t="s">
        <v>15</v>
      </c>
      <c r="P757" s="12" t="s">
        <v>16</v>
      </c>
      <c r="Q757" s="16">
        <v>2958465</v>
      </c>
    </row>
    <row r="758" spans="1:18">
      <c r="A758" s="11">
        <f t="shared" si="11"/>
        <v>757</v>
      </c>
      <c r="B758" s="11">
        <v>8020012496</v>
      </c>
      <c r="C758" s="25" t="s">
        <v>1252</v>
      </c>
      <c r="D758" s="27">
        <v>370425</v>
      </c>
      <c r="E758" s="11">
        <v>0.64</v>
      </c>
      <c r="F758" s="11" t="s">
        <v>11</v>
      </c>
      <c r="G758" s="44">
        <v>237072</v>
      </c>
      <c r="H758" s="28">
        <v>213578.37837837837</v>
      </c>
      <c r="I758" s="19" t="s">
        <v>12</v>
      </c>
      <c r="J758" s="19" t="s">
        <v>13</v>
      </c>
      <c r="K758" s="32" t="s">
        <v>326</v>
      </c>
      <c r="L758" s="22"/>
      <c r="M758" s="22"/>
      <c r="N758" s="22"/>
      <c r="O758" s="22" t="s">
        <v>15</v>
      </c>
      <c r="P758" s="25" t="s">
        <v>1253</v>
      </c>
      <c r="Q758" s="16">
        <v>2958465</v>
      </c>
      <c r="R758" s="24"/>
    </row>
    <row r="759" spans="1:18">
      <c r="A759" s="11">
        <f t="shared" si="11"/>
        <v>758</v>
      </c>
      <c r="B759" s="12">
        <v>8020013650</v>
      </c>
      <c r="C759" s="30" t="s">
        <v>1321</v>
      </c>
      <c r="D759" s="30"/>
      <c r="E759" s="30"/>
      <c r="F759" s="30"/>
      <c r="G759" s="43">
        <v>31888</v>
      </c>
      <c r="H759" s="31">
        <v>28727.927927927925</v>
      </c>
      <c r="I759" s="13" t="s">
        <v>12</v>
      </c>
      <c r="J759" s="13" t="s">
        <v>13</v>
      </c>
      <c r="K759" s="14" t="s">
        <v>1265</v>
      </c>
      <c r="L759" s="12" t="s">
        <v>1266</v>
      </c>
      <c r="M759" s="12" t="s">
        <v>11</v>
      </c>
      <c r="N759" s="15" t="s">
        <v>1267</v>
      </c>
      <c r="O759" s="15" t="s">
        <v>15</v>
      </c>
      <c r="P759" s="12" t="s">
        <v>1322</v>
      </c>
      <c r="Q759" s="16">
        <v>2958465</v>
      </c>
    </row>
    <row r="760" spans="1:18">
      <c r="A760" s="11">
        <f t="shared" si="11"/>
        <v>759</v>
      </c>
      <c r="B760" s="12">
        <v>8020013651</v>
      </c>
      <c r="C760" s="30" t="s">
        <v>1323</v>
      </c>
      <c r="D760" s="30"/>
      <c r="E760" s="30"/>
      <c r="F760" s="30"/>
      <c r="G760" s="43">
        <v>36076</v>
      </c>
      <c r="H760" s="31">
        <v>32500.900900900899</v>
      </c>
      <c r="I760" s="13" t="s">
        <v>12</v>
      </c>
      <c r="J760" s="13" t="s">
        <v>13</v>
      </c>
      <c r="K760" s="14" t="s">
        <v>1265</v>
      </c>
      <c r="L760" s="12" t="s">
        <v>1266</v>
      </c>
      <c r="M760" s="12" t="s">
        <v>11</v>
      </c>
      <c r="N760" s="15" t="s">
        <v>1267</v>
      </c>
      <c r="O760" s="15" t="s">
        <v>15</v>
      </c>
      <c r="P760" s="12" t="s">
        <v>1322</v>
      </c>
      <c r="Q760" s="16">
        <v>2958465</v>
      </c>
    </row>
    <row r="761" spans="1:18">
      <c r="A761" s="11">
        <f t="shared" si="11"/>
        <v>760</v>
      </c>
      <c r="B761" s="12">
        <v>8020013652</v>
      </c>
      <c r="C761" s="30" t="s">
        <v>1324</v>
      </c>
      <c r="D761" s="30"/>
      <c r="E761" s="30"/>
      <c r="F761" s="30"/>
      <c r="G761" s="43">
        <v>46545</v>
      </c>
      <c r="H761" s="31">
        <v>41932.432432432426</v>
      </c>
      <c r="I761" s="13" t="s">
        <v>12</v>
      </c>
      <c r="J761" s="13" t="s">
        <v>13</v>
      </c>
      <c r="K761" s="14" t="s">
        <v>1265</v>
      </c>
      <c r="L761" s="12" t="s">
        <v>1266</v>
      </c>
      <c r="M761" s="12" t="s">
        <v>11</v>
      </c>
      <c r="N761" s="15" t="s">
        <v>1267</v>
      </c>
      <c r="O761" s="15" t="s">
        <v>15</v>
      </c>
      <c r="P761" s="12" t="s">
        <v>1322</v>
      </c>
      <c r="Q761" s="16">
        <v>2958465</v>
      </c>
    </row>
    <row r="762" spans="1:18">
      <c r="A762" s="11">
        <f t="shared" si="11"/>
        <v>761</v>
      </c>
      <c r="B762" s="12">
        <v>8020013653</v>
      </c>
      <c r="C762" s="30" t="s">
        <v>1325</v>
      </c>
      <c r="D762" s="30"/>
      <c r="E762" s="30"/>
      <c r="F762" s="30"/>
      <c r="G762" s="43">
        <v>62483</v>
      </c>
      <c r="H762" s="31">
        <v>56290.990990990984</v>
      </c>
      <c r="I762" s="13" t="s">
        <v>12</v>
      </c>
      <c r="J762" s="13" t="s">
        <v>13</v>
      </c>
      <c r="K762" s="14" t="s">
        <v>1265</v>
      </c>
      <c r="L762" s="12" t="s">
        <v>1266</v>
      </c>
      <c r="M762" s="12" t="s">
        <v>11</v>
      </c>
      <c r="N762" s="15" t="s">
        <v>1267</v>
      </c>
      <c r="O762" s="15" t="s">
        <v>15</v>
      </c>
      <c r="P762" s="12" t="s">
        <v>1322</v>
      </c>
      <c r="Q762" s="16">
        <v>2958465</v>
      </c>
    </row>
    <row r="763" spans="1:18">
      <c r="A763" s="11">
        <f t="shared" si="11"/>
        <v>762</v>
      </c>
      <c r="B763" s="12">
        <v>8020013654</v>
      </c>
      <c r="C763" s="30" t="s">
        <v>1326</v>
      </c>
      <c r="D763" s="30"/>
      <c r="E763" s="30"/>
      <c r="F763" s="30"/>
      <c r="G763" s="43">
        <v>88038</v>
      </c>
      <c r="H763" s="31">
        <v>79313.513513513506</v>
      </c>
      <c r="I763" s="13" t="s">
        <v>12</v>
      </c>
      <c r="J763" s="13" t="s">
        <v>13</v>
      </c>
      <c r="K763" s="14" t="s">
        <v>1265</v>
      </c>
      <c r="L763" s="12" t="s">
        <v>1266</v>
      </c>
      <c r="M763" s="12" t="s">
        <v>11</v>
      </c>
      <c r="N763" s="15" t="s">
        <v>1267</v>
      </c>
      <c r="O763" s="15" t="s">
        <v>15</v>
      </c>
      <c r="P763" s="12" t="s">
        <v>1322</v>
      </c>
      <c r="Q763" s="16">
        <v>2958465</v>
      </c>
    </row>
    <row r="764" spans="1:18">
      <c r="A764" s="11">
        <f t="shared" si="11"/>
        <v>763</v>
      </c>
      <c r="B764" s="12">
        <v>8020013655</v>
      </c>
      <c r="C764" s="30" t="s">
        <v>1327</v>
      </c>
      <c r="D764" s="30"/>
      <c r="E764" s="30"/>
      <c r="F764" s="30"/>
      <c r="G764" s="43">
        <v>131138</v>
      </c>
      <c r="H764" s="31">
        <v>118142.34234234234</v>
      </c>
      <c r="I764" s="13" t="s">
        <v>12</v>
      </c>
      <c r="J764" s="13" t="s">
        <v>13</v>
      </c>
      <c r="K764" s="14" t="s">
        <v>1265</v>
      </c>
      <c r="L764" s="12" t="s">
        <v>1266</v>
      </c>
      <c r="M764" s="12" t="s">
        <v>11</v>
      </c>
      <c r="N764" s="15" t="s">
        <v>1267</v>
      </c>
      <c r="O764" s="15" t="s">
        <v>15</v>
      </c>
      <c r="P764" s="12" t="s">
        <v>1322</v>
      </c>
      <c r="Q764" s="16">
        <v>2958465</v>
      </c>
    </row>
    <row r="765" spans="1:18">
      <c r="A765" s="11">
        <f t="shared" si="11"/>
        <v>764</v>
      </c>
      <c r="B765" s="12">
        <v>8020013656</v>
      </c>
      <c r="C765" s="30" t="s">
        <v>1328</v>
      </c>
      <c r="D765" s="30"/>
      <c r="E765" s="30"/>
      <c r="F765" s="30"/>
      <c r="G765" s="43">
        <v>266104</v>
      </c>
      <c r="H765" s="31">
        <v>239733.33333333331</v>
      </c>
      <c r="I765" s="13" t="s">
        <v>12</v>
      </c>
      <c r="J765" s="13" t="s">
        <v>13</v>
      </c>
      <c r="K765" s="14" t="s">
        <v>1265</v>
      </c>
      <c r="L765" s="12" t="s">
        <v>1266</v>
      </c>
      <c r="M765" s="12" t="s">
        <v>11</v>
      </c>
      <c r="N765" s="15" t="s">
        <v>1267</v>
      </c>
      <c r="O765" s="15" t="s">
        <v>15</v>
      </c>
      <c r="P765" s="12" t="s">
        <v>1322</v>
      </c>
      <c r="Q765" s="16">
        <v>2958465</v>
      </c>
    </row>
    <row r="766" spans="1:18">
      <c r="A766" s="11">
        <f t="shared" si="11"/>
        <v>765</v>
      </c>
      <c r="B766" s="11">
        <v>8020013759</v>
      </c>
      <c r="C766" s="25" t="s">
        <v>96</v>
      </c>
      <c r="D766" s="27">
        <v>263600</v>
      </c>
      <c r="E766" s="11">
        <v>0.64</v>
      </c>
      <c r="F766" s="11" t="s">
        <v>11</v>
      </c>
      <c r="G766" s="44">
        <v>168704</v>
      </c>
      <c r="H766" s="28">
        <v>151985.58558558556</v>
      </c>
      <c r="I766" s="19" t="s">
        <v>12</v>
      </c>
      <c r="J766" s="19" t="s">
        <v>13</v>
      </c>
      <c r="K766" s="32" t="s">
        <v>97</v>
      </c>
      <c r="L766" s="22"/>
      <c r="M766" s="22"/>
      <c r="N766" s="22"/>
      <c r="O766" s="20" t="s">
        <v>15</v>
      </c>
      <c r="P766" s="25" t="s">
        <v>16</v>
      </c>
      <c r="Q766" s="16">
        <v>2958465</v>
      </c>
    </row>
    <row r="767" spans="1:18">
      <c r="A767" s="11">
        <f t="shared" si="11"/>
        <v>766</v>
      </c>
      <c r="B767" s="11">
        <v>8020013760</v>
      </c>
      <c r="C767" s="25" t="s">
        <v>99</v>
      </c>
      <c r="D767" s="27">
        <v>611100</v>
      </c>
      <c r="E767" s="11">
        <v>0.64</v>
      </c>
      <c r="F767" s="11" t="s">
        <v>11</v>
      </c>
      <c r="G767" s="44">
        <v>391104</v>
      </c>
      <c r="H767" s="28">
        <v>352345.94594594592</v>
      </c>
      <c r="I767" s="19" t="s">
        <v>12</v>
      </c>
      <c r="J767" s="19" t="s">
        <v>13</v>
      </c>
      <c r="K767" s="32" t="s">
        <v>97</v>
      </c>
      <c r="L767" s="22"/>
      <c r="M767" s="22"/>
      <c r="N767" s="22"/>
      <c r="O767" s="20" t="s">
        <v>15</v>
      </c>
      <c r="P767" s="25" t="s">
        <v>16</v>
      </c>
      <c r="Q767" s="16">
        <v>2958465</v>
      </c>
    </row>
    <row r="768" spans="1:18">
      <c r="A768" s="11">
        <f t="shared" si="11"/>
        <v>767</v>
      </c>
      <c r="B768" s="11">
        <v>8020013761</v>
      </c>
      <c r="C768" s="25" t="s">
        <v>98</v>
      </c>
      <c r="D768" s="27">
        <v>1006600</v>
      </c>
      <c r="E768" s="11">
        <v>0.64</v>
      </c>
      <c r="F768" s="11" t="s">
        <v>11</v>
      </c>
      <c r="G768" s="44">
        <v>644224</v>
      </c>
      <c r="H768" s="28">
        <v>580381.98198198189</v>
      </c>
      <c r="I768" s="19" t="s">
        <v>12</v>
      </c>
      <c r="J768" s="19" t="s">
        <v>13</v>
      </c>
      <c r="K768" s="32" t="s">
        <v>97</v>
      </c>
      <c r="L768" s="22"/>
      <c r="M768" s="22"/>
      <c r="N768" s="22"/>
      <c r="O768" s="20" t="s">
        <v>15</v>
      </c>
      <c r="P768" s="25" t="s">
        <v>16</v>
      </c>
      <c r="Q768" s="16">
        <v>2958465</v>
      </c>
    </row>
    <row r="769" spans="1:17">
      <c r="A769" s="11">
        <f t="shared" si="11"/>
        <v>768</v>
      </c>
      <c r="B769" s="11">
        <v>8020013762</v>
      </c>
      <c r="C769" s="25" t="s">
        <v>100</v>
      </c>
      <c r="D769" s="27">
        <v>1413000</v>
      </c>
      <c r="E769" s="11">
        <v>0.64</v>
      </c>
      <c r="F769" s="11" t="s">
        <v>11</v>
      </c>
      <c r="G769" s="44">
        <v>904320</v>
      </c>
      <c r="H769" s="28">
        <v>814702.70270270261</v>
      </c>
      <c r="I769" s="19" t="s">
        <v>12</v>
      </c>
      <c r="J769" s="19" t="s">
        <v>13</v>
      </c>
      <c r="K769" s="32" t="s">
        <v>97</v>
      </c>
      <c r="L769" s="22"/>
      <c r="M769" s="22"/>
      <c r="N769" s="22"/>
      <c r="O769" s="20" t="s">
        <v>15</v>
      </c>
      <c r="P769" s="25" t="s">
        <v>16</v>
      </c>
      <c r="Q769" s="16">
        <v>2958465</v>
      </c>
    </row>
    <row r="770" spans="1:17">
      <c r="A770" s="11">
        <f t="shared" si="11"/>
        <v>769</v>
      </c>
      <c r="B770" s="11">
        <v>8020014181</v>
      </c>
      <c r="C770" s="25" t="s">
        <v>101</v>
      </c>
      <c r="D770" s="27">
        <v>2119500</v>
      </c>
      <c r="E770" s="11">
        <v>0.64</v>
      </c>
      <c r="F770" s="11" t="s">
        <v>11</v>
      </c>
      <c r="G770" s="44">
        <v>1356480</v>
      </c>
      <c r="H770" s="28">
        <v>1222054.054054054</v>
      </c>
      <c r="I770" s="19" t="s">
        <v>12</v>
      </c>
      <c r="J770" s="19" t="s">
        <v>13</v>
      </c>
      <c r="K770" s="32" t="s">
        <v>97</v>
      </c>
      <c r="L770" s="22"/>
      <c r="M770" s="22"/>
      <c r="N770" s="22"/>
      <c r="O770" s="20" t="s">
        <v>15</v>
      </c>
      <c r="P770" s="25" t="s">
        <v>16</v>
      </c>
      <c r="Q770" s="16">
        <v>2958465</v>
      </c>
    </row>
    <row r="771" spans="1:17">
      <c r="A771" s="11">
        <f t="shared" si="11"/>
        <v>770</v>
      </c>
      <c r="B771" s="11">
        <v>8020014605</v>
      </c>
      <c r="C771" s="25" t="s">
        <v>102</v>
      </c>
      <c r="D771" s="27">
        <v>382220</v>
      </c>
      <c r="E771" s="11">
        <v>0.64</v>
      </c>
      <c r="F771" s="11" t="s">
        <v>11</v>
      </c>
      <c r="G771" s="44">
        <v>244621</v>
      </c>
      <c r="H771" s="28">
        <v>220379.27927927926</v>
      </c>
      <c r="I771" s="19" t="s">
        <v>12</v>
      </c>
      <c r="J771" s="19" t="s">
        <v>13</v>
      </c>
      <c r="K771" s="32" t="s">
        <v>97</v>
      </c>
      <c r="L771" s="22"/>
      <c r="M771" s="22"/>
      <c r="N771" s="22"/>
      <c r="O771" s="20" t="s">
        <v>15</v>
      </c>
      <c r="P771" s="25" t="s">
        <v>16</v>
      </c>
      <c r="Q771" s="16">
        <v>2958465</v>
      </c>
    </row>
    <row r="772" spans="1:17">
      <c r="A772" s="11">
        <f t="shared" si="11"/>
        <v>771</v>
      </c>
      <c r="B772" s="11">
        <v>8020014606</v>
      </c>
      <c r="C772" s="25" t="s">
        <v>103</v>
      </c>
      <c r="D772" s="27">
        <v>886095</v>
      </c>
      <c r="E772" s="11">
        <v>0.64</v>
      </c>
      <c r="F772" s="11" t="s">
        <v>11</v>
      </c>
      <c r="G772" s="44">
        <v>567101</v>
      </c>
      <c r="H772" s="28">
        <v>510901.80180180178</v>
      </c>
      <c r="I772" s="19" t="s">
        <v>12</v>
      </c>
      <c r="J772" s="19" t="s">
        <v>13</v>
      </c>
      <c r="K772" s="32" t="s">
        <v>97</v>
      </c>
      <c r="L772" s="22"/>
      <c r="M772" s="22"/>
      <c r="N772" s="22"/>
      <c r="O772" s="20" t="s">
        <v>15</v>
      </c>
      <c r="P772" s="25" t="s">
        <v>16</v>
      </c>
      <c r="Q772" s="16">
        <v>2958465</v>
      </c>
    </row>
    <row r="773" spans="1:17">
      <c r="A773" s="11">
        <f t="shared" ref="A773:A836" si="12">ROW()-1</f>
        <v>772</v>
      </c>
      <c r="B773" s="11">
        <v>8020014607</v>
      </c>
      <c r="C773" s="25" t="s">
        <v>104</v>
      </c>
      <c r="D773" s="27">
        <v>1459570</v>
      </c>
      <c r="E773" s="11">
        <v>0.64</v>
      </c>
      <c r="F773" s="11" t="s">
        <v>11</v>
      </c>
      <c r="G773" s="44">
        <v>934125</v>
      </c>
      <c r="H773" s="28">
        <v>841554.05405405397</v>
      </c>
      <c r="I773" s="19" t="s">
        <v>12</v>
      </c>
      <c r="J773" s="19" t="s">
        <v>13</v>
      </c>
      <c r="K773" s="32" t="s">
        <v>97</v>
      </c>
      <c r="L773" s="22"/>
      <c r="M773" s="22"/>
      <c r="N773" s="22"/>
      <c r="O773" s="20" t="s">
        <v>15</v>
      </c>
      <c r="P773" s="25" t="s">
        <v>16</v>
      </c>
      <c r="Q773" s="16">
        <v>2958465</v>
      </c>
    </row>
    <row r="774" spans="1:17">
      <c r="A774" s="11">
        <f t="shared" si="12"/>
        <v>773</v>
      </c>
      <c r="B774" s="11">
        <v>8020014608</v>
      </c>
      <c r="C774" s="25" t="s">
        <v>105</v>
      </c>
      <c r="D774" s="27">
        <v>2048850</v>
      </c>
      <c r="E774" s="11">
        <v>0.64</v>
      </c>
      <c r="F774" s="11" t="s">
        <v>11</v>
      </c>
      <c r="G774" s="44">
        <v>1311264</v>
      </c>
      <c r="H774" s="28">
        <v>1181318.9189189188</v>
      </c>
      <c r="I774" s="19" t="s">
        <v>12</v>
      </c>
      <c r="J774" s="19" t="s">
        <v>13</v>
      </c>
      <c r="K774" s="32" t="s">
        <v>97</v>
      </c>
      <c r="L774" s="22"/>
      <c r="M774" s="22"/>
      <c r="N774" s="22"/>
      <c r="O774" s="20" t="s">
        <v>15</v>
      </c>
      <c r="P774" s="25" t="s">
        <v>16</v>
      </c>
      <c r="Q774" s="16">
        <v>2958465</v>
      </c>
    </row>
    <row r="775" spans="1:17">
      <c r="A775" s="11">
        <f t="shared" si="12"/>
        <v>774</v>
      </c>
      <c r="B775" s="12">
        <v>8020014747</v>
      </c>
      <c r="C775" s="30" t="s">
        <v>1382</v>
      </c>
      <c r="D775" s="30"/>
      <c r="E775" s="30"/>
      <c r="F775" s="30"/>
      <c r="G775" s="43">
        <v>15834</v>
      </c>
      <c r="H775" s="31">
        <v>14264.864864864863</v>
      </c>
      <c r="I775" s="13" t="s">
        <v>12</v>
      </c>
      <c r="J775" s="13" t="s">
        <v>13</v>
      </c>
      <c r="K775" s="14" t="s">
        <v>1439</v>
      </c>
      <c r="L775" s="12" t="s">
        <v>1266</v>
      </c>
      <c r="M775" s="12" t="s">
        <v>11</v>
      </c>
      <c r="N775" s="15" t="s">
        <v>1267</v>
      </c>
      <c r="O775" s="15" t="s">
        <v>15</v>
      </c>
      <c r="P775" s="12" t="s">
        <v>1368</v>
      </c>
      <c r="Q775" s="16">
        <v>2958465</v>
      </c>
    </row>
    <row r="776" spans="1:17">
      <c r="A776" s="11">
        <f t="shared" si="12"/>
        <v>775</v>
      </c>
      <c r="B776" s="12">
        <v>8020014748</v>
      </c>
      <c r="C776" s="30" t="s">
        <v>1383</v>
      </c>
      <c r="D776" s="30"/>
      <c r="E776" s="30"/>
      <c r="F776" s="30"/>
      <c r="G776" s="43">
        <v>18660</v>
      </c>
      <c r="H776" s="31">
        <v>16810.81081081081</v>
      </c>
      <c r="I776" s="13" t="s">
        <v>12</v>
      </c>
      <c r="J776" s="13" t="s">
        <v>13</v>
      </c>
      <c r="K776" s="14" t="s">
        <v>1439</v>
      </c>
      <c r="L776" s="12" t="s">
        <v>1266</v>
      </c>
      <c r="M776" s="12" t="s">
        <v>11</v>
      </c>
      <c r="N776" s="15" t="s">
        <v>1267</v>
      </c>
      <c r="O776" s="15" t="s">
        <v>15</v>
      </c>
      <c r="P776" s="12" t="s">
        <v>1368</v>
      </c>
      <c r="Q776" s="16">
        <v>2958465</v>
      </c>
    </row>
    <row r="777" spans="1:17">
      <c r="A777" s="11">
        <f t="shared" si="12"/>
        <v>776</v>
      </c>
      <c r="B777" s="12">
        <v>8020014749</v>
      </c>
      <c r="C777" s="30" t="s">
        <v>1384</v>
      </c>
      <c r="D777" s="30"/>
      <c r="E777" s="30"/>
      <c r="F777" s="30"/>
      <c r="G777" s="43">
        <v>23433</v>
      </c>
      <c r="H777" s="31">
        <v>21110.81081081081</v>
      </c>
      <c r="I777" s="13" t="s">
        <v>12</v>
      </c>
      <c r="J777" s="13" t="s">
        <v>13</v>
      </c>
      <c r="K777" s="14" t="s">
        <v>1439</v>
      </c>
      <c r="L777" s="12" t="s">
        <v>1266</v>
      </c>
      <c r="M777" s="12" t="s">
        <v>11</v>
      </c>
      <c r="N777" s="15" t="s">
        <v>1267</v>
      </c>
      <c r="O777" s="15" t="s">
        <v>15</v>
      </c>
      <c r="P777" s="12" t="s">
        <v>1368</v>
      </c>
      <c r="Q777" s="16">
        <v>2958465</v>
      </c>
    </row>
    <row r="778" spans="1:17">
      <c r="A778" s="11">
        <f t="shared" si="12"/>
        <v>777</v>
      </c>
      <c r="B778" s="12">
        <v>8020014750</v>
      </c>
      <c r="C778" s="30" t="s">
        <v>1385</v>
      </c>
      <c r="D778" s="30"/>
      <c r="E778" s="30"/>
      <c r="F778" s="30"/>
      <c r="G778" s="43">
        <v>32318</v>
      </c>
      <c r="H778" s="31">
        <v>29115.315315315314</v>
      </c>
      <c r="I778" s="13" t="s">
        <v>12</v>
      </c>
      <c r="J778" s="13" t="s">
        <v>13</v>
      </c>
      <c r="K778" s="14" t="s">
        <v>1439</v>
      </c>
      <c r="L778" s="12" t="s">
        <v>1266</v>
      </c>
      <c r="M778" s="12" t="s">
        <v>11</v>
      </c>
      <c r="N778" s="15" t="s">
        <v>1267</v>
      </c>
      <c r="O778" s="15" t="s">
        <v>15</v>
      </c>
      <c r="P778" s="12" t="s">
        <v>1368</v>
      </c>
      <c r="Q778" s="16">
        <v>2958465</v>
      </c>
    </row>
    <row r="779" spans="1:17">
      <c r="A779" s="11">
        <f t="shared" si="12"/>
        <v>778</v>
      </c>
      <c r="B779" s="12">
        <v>8020014751</v>
      </c>
      <c r="C779" s="30" t="s">
        <v>1386</v>
      </c>
      <c r="D779" s="30"/>
      <c r="E779" s="30"/>
      <c r="F779" s="30"/>
      <c r="G779" s="43">
        <v>43715</v>
      </c>
      <c r="H779" s="31">
        <v>39382.882882882877</v>
      </c>
      <c r="I779" s="13" t="s">
        <v>12</v>
      </c>
      <c r="J779" s="13" t="s">
        <v>13</v>
      </c>
      <c r="K779" s="14" t="s">
        <v>1439</v>
      </c>
      <c r="L779" s="12" t="s">
        <v>1266</v>
      </c>
      <c r="M779" s="12" t="s">
        <v>11</v>
      </c>
      <c r="N779" s="15" t="s">
        <v>1267</v>
      </c>
      <c r="O779" s="15" t="s">
        <v>15</v>
      </c>
      <c r="P779" s="12" t="s">
        <v>1368</v>
      </c>
      <c r="Q779" s="16">
        <v>2958465</v>
      </c>
    </row>
    <row r="780" spans="1:17">
      <c r="A780" s="11">
        <f t="shared" si="12"/>
        <v>779</v>
      </c>
      <c r="B780" s="12">
        <v>8020014752</v>
      </c>
      <c r="C780" s="30" t="s">
        <v>1387</v>
      </c>
      <c r="D780" s="30"/>
      <c r="E780" s="30"/>
      <c r="F780" s="30"/>
      <c r="G780" s="43">
        <v>65117</v>
      </c>
      <c r="H780" s="31">
        <v>58663.963963963957</v>
      </c>
      <c r="I780" s="13" t="s">
        <v>12</v>
      </c>
      <c r="J780" s="13" t="s">
        <v>13</v>
      </c>
      <c r="K780" s="14" t="s">
        <v>1439</v>
      </c>
      <c r="L780" s="12" t="s">
        <v>1266</v>
      </c>
      <c r="M780" s="12" t="s">
        <v>11</v>
      </c>
      <c r="N780" s="15" t="s">
        <v>1267</v>
      </c>
      <c r="O780" s="15" t="s">
        <v>15</v>
      </c>
      <c r="P780" s="12" t="s">
        <v>1368</v>
      </c>
      <c r="Q780" s="16">
        <v>2958465</v>
      </c>
    </row>
    <row r="781" spans="1:17">
      <c r="A781" s="11">
        <f t="shared" si="12"/>
        <v>780</v>
      </c>
      <c r="B781" s="12">
        <v>8020014753</v>
      </c>
      <c r="C781" s="30" t="s">
        <v>1388</v>
      </c>
      <c r="D781" s="30"/>
      <c r="E781" s="30"/>
      <c r="F781" s="30"/>
      <c r="G781" s="43">
        <v>120596</v>
      </c>
      <c r="H781" s="31">
        <v>108645.04504504503</v>
      </c>
      <c r="I781" s="13" t="s">
        <v>12</v>
      </c>
      <c r="J781" s="13" t="s">
        <v>13</v>
      </c>
      <c r="K781" s="14" t="s">
        <v>1439</v>
      </c>
      <c r="L781" s="12" t="s">
        <v>1266</v>
      </c>
      <c r="M781" s="12" t="s">
        <v>11</v>
      </c>
      <c r="N781" s="15" t="s">
        <v>1267</v>
      </c>
      <c r="O781" s="15" t="s">
        <v>15</v>
      </c>
      <c r="P781" s="12" t="s">
        <v>1368</v>
      </c>
      <c r="Q781" s="16">
        <v>2958465</v>
      </c>
    </row>
    <row r="782" spans="1:17">
      <c r="A782" s="11">
        <f t="shared" si="12"/>
        <v>781</v>
      </c>
      <c r="B782" s="12">
        <v>8020014754</v>
      </c>
      <c r="C782" s="30" t="s">
        <v>1389</v>
      </c>
      <c r="D782" s="30"/>
      <c r="E782" s="30"/>
      <c r="F782" s="30"/>
      <c r="G782" s="43">
        <v>137640</v>
      </c>
      <c r="H782" s="31">
        <v>123999.99999999999</v>
      </c>
      <c r="I782" s="13" t="s">
        <v>12</v>
      </c>
      <c r="J782" s="13" t="s">
        <v>13</v>
      </c>
      <c r="K782" s="14" t="s">
        <v>1439</v>
      </c>
      <c r="L782" s="12" t="s">
        <v>1266</v>
      </c>
      <c r="M782" s="12" t="s">
        <v>11</v>
      </c>
      <c r="N782" s="15" t="s">
        <v>1267</v>
      </c>
      <c r="O782" s="15" t="s">
        <v>15</v>
      </c>
      <c r="P782" s="12" t="s">
        <v>1368</v>
      </c>
      <c r="Q782" s="16">
        <v>2958465</v>
      </c>
    </row>
    <row r="783" spans="1:17">
      <c r="A783" s="11">
        <f t="shared" si="12"/>
        <v>782</v>
      </c>
      <c r="B783" s="12">
        <v>8020014755</v>
      </c>
      <c r="C783" s="30" t="s">
        <v>1390</v>
      </c>
      <c r="D783" s="30"/>
      <c r="E783" s="30"/>
      <c r="F783" s="30"/>
      <c r="G783" s="43">
        <v>279578</v>
      </c>
      <c r="H783" s="31">
        <v>251872.07207207204</v>
      </c>
      <c r="I783" s="13" t="s">
        <v>12</v>
      </c>
      <c r="J783" s="13" t="s">
        <v>13</v>
      </c>
      <c r="K783" s="14" t="s">
        <v>1439</v>
      </c>
      <c r="L783" s="12" t="s">
        <v>1266</v>
      </c>
      <c r="M783" s="12" t="s">
        <v>11</v>
      </c>
      <c r="N783" s="15" t="s">
        <v>1267</v>
      </c>
      <c r="O783" s="15" t="s">
        <v>15</v>
      </c>
      <c r="P783" s="12" t="s">
        <v>1368</v>
      </c>
      <c r="Q783" s="16">
        <v>2958465</v>
      </c>
    </row>
    <row r="784" spans="1:17">
      <c r="A784" s="11">
        <f t="shared" si="12"/>
        <v>783</v>
      </c>
      <c r="B784" s="12">
        <v>8020014756</v>
      </c>
      <c r="C784" s="30" t="s">
        <v>1391</v>
      </c>
      <c r="D784" s="30"/>
      <c r="E784" s="30"/>
      <c r="F784" s="30"/>
      <c r="G784" s="43">
        <v>460519</v>
      </c>
      <c r="H784" s="31">
        <v>414881.98198198195</v>
      </c>
      <c r="I784" s="13" t="s">
        <v>12</v>
      </c>
      <c r="J784" s="13" t="s">
        <v>13</v>
      </c>
      <c r="K784" s="14" t="s">
        <v>1439</v>
      </c>
      <c r="L784" s="12" t="s">
        <v>1266</v>
      </c>
      <c r="M784" s="12" t="s">
        <v>11</v>
      </c>
      <c r="N784" s="15" t="s">
        <v>1267</v>
      </c>
      <c r="O784" s="15" t="s">
        <v>15</v>
      </c>
      <c r="P784" s="12" t="s">
        <v>1368</v>
      </c>
      <c r="Q784" s="16">
        <v>2958465</v>
      </c>
    </row>
    <row r="785" spans="1:20">
      <c r="A785" s="11">
        <f t="shared" si="12"/>
        <v>784</v>
      </c>
      <c r="B785" s="12">
        <v>8020014757</v>
      </c>
      <c r="C785" s="30" t="s">
        <v>1392</v>
      </c>
      <c r="D785" s="30"/>
      <c r="E785" s="30"/>
      <c r="F785" s="30"/>
      <c r="G785" s="43">
        <v>646448</v>
      </c>
      <c r="H785" s="31">
        <v>582385.58558558556</v>
      </c>
      <c r="I785" s="13" t="s">
        <v>12</v>
      </c>
      <c r="J785" s="13" t="s">
        <v>13</v>
      </c>
      <c r="K785" s="14" t="s">
        <v>1439</v>
      </c>
      <c r="L785" s="12" t="s">
        <v>1266</v>
      </c>
      <c r="M785" s="12" t="s">
        <v>11</v>
      </c>
      <c r="N785" s="15" t="s">
        <v>1267</v>
      </c>
      <c r="O785" s="15" t="s">
        <v>15</v>
      </c>
      <c r="P785" s="12" t="s">
        <v>1368</v>
      </c>
      <c r="Q785" s="16">
        <v>2958465</v>
      </c>
    </row>
    <row r="786" spans="1:20">
      <c r="A786" s="11">
        <f t="shared" si="12"/>
        <v>785</v>
      </c>
      <c r="B786" s="11">
        <v>8020020047</v>
      </c>
      <c r="C786" s="25" t="s">
        <v>307</v>
      </c>
      <c r="D786" s="27">
        <v>6852</v>
      </c>
      <c r="E786" s="11">
        <v>0.56000000000000005</v>
      </c>
      <c r="F786" s="11" t="s">
        <v>11</v>
      </c>
      <c r="G786" s="44">
        <v>3837</v>
      </c>
      <c r="H786" s="28">
        <v>3456.7567567567567</v>
      </c>
      <c r="I786" s="19" t="s">
        <v>12</v>
      </c>
      <c r="J786" s="19" t="s">
        <v>13</v>
      </c>
      <c r="K786" s="32" t="s">
        <v>265</v>
      </c>
      <c r="L786" s="22"/>
      <c r="M786" s="22"/>
      <c r="N786" s="22"/>
      <c r="O786" s="20" t="s">
        <v>15</v>
      </c>
      <c r="P786" s="25" t="s">
        <v>16</v>
      </c>
      <c r="Q786" s="16">
        <v>2958465</v>
      </c>
    </row>
    <row r="787" spans="1:20">
      <c r="A787" s="11">
        <f t="shared" si="12"/>
        <v>786</v>
      </c>
      <c r="B787" s="11">
        <v>8020020049</v>
      </c>
      <c r="C787" s="25" t="s">
        <v>308</v>
      </c>
      <c r="D787" s="27">
        <v>16852</v>
      </c>
      <c r="E787" s="11">
        <v>0.56000000000000005</v>
      </c>
      <c r="F787" s="11" t="s">
        <v>11</v>
      </c>
      <c r="G787" s="44">
        <v>9437</v>
      </c>
      <c r="H787" s="28">
        <v>8501.801801801801</v>
      </c>
      <c r="I787" s="19" t="s">
        <v>12</v>
      </c>
      <c r="J787" s="19" t="s">
        <v>13</v>
      </c>
      <c r="K787" s="32" t="s">
        <v>265</v>
      </c>
      <c r="L787" s="22"/>
      <c r="M787" s="22"/>
      <c r="N787" s="22"/>
      <c r="O787" s="20" t="s">
        <v>15</v>
      </c>
      <c r="P787" s="25" t="s">
        <v>16</v>
      </c>
      <c r="Q787" s="16">
        <v>2958465</v>
      </c>
    </row>
    <row r="788" spans="1:20">
      <c r="A788" s="11">
        <f t="shared" si="12"/>
        <v>787</v>
      </c>
      <c r="B788" s="11">
        <v>8020020100</v>
      </c>
      <c r="C788" s="25" t="s">
        <v>324</v>
      </c>
      <c r="D788" s="27">
        <v>2735</v>
      </c>
      <c r="E788" s="11">
        <v>0.56000000000000005</v>
      </c>
      <c r="F788" s="11" t="s">
        <v>11</v>
      </c>
      <c r="G788" s="44">
        <v>1532</v>
      </c>
      <c r="H788" s="28">
        <v>1380.1801801801801</v>
      </c>
      <c r="I788" s="19" t="s">
        <v>12</v>
      </c>
      <c r="J788" s="19" t="s">
        <v>13</v>
      </c>
      <c r="K788" s="32" t="s">
        <v>265</v>
      </c>
      <c r="L788" s="22"/>
      <c r="M788" s="22"/>
      <c r="N788" s="22"/>
      <c r="O788" s="20" t="s">
        <v>15</v>
      </c>
      <c r="P788" s="25" t="s">
        <v>16</v>
      </c>
      <c r="Q788" s="16">
        <v>2958465</v>
      </c>
    </row>
    <row r="789" spans="1:20">
      <c r="A789" s="11">
        <f t="shared" si="12"/>
        <v>788</v>
      </c>
      <c r="B789" s="11">
        <v>8020020104</v>
      </c>
      <c r="C789" s="25" t="s">
        <v>299</v>
      </c>
      <c r="D789" s="27">
        <v>32494</v>
      </c>
      <c r="E789" s="11">
        <v>0.56000000000000005</v>
      </c>
      <c r="F789" s="11" t="s">
        <v>11</v>
      </c>
      <c r="G789" s="44">
        <v>18197</v>
      </c>
      <c r="H789" s="28">
        <v>16393.693693693691</v>
      </c>
      <c r="I789" s="19" t="s">
        <v>12</v>
      </c>
      <c r="J789" s="19" t="s">
        <v>13</v>
      </c>
      <c r="K789" s="32" t="s">
        <v>265</v>
      </c>
      <c r="L789" s="22"/>
      <c r="M789" s="22"/>
      <c r="N789" s="22"/>
      <c r="O789" s="20" t="s">
        <v>15</v>
      </c>
      <c r="P789" s="25" t="s">
        <v>16</v>
      </c>
      <c r="Q789" s="16">
        <v>2958465</v>
      </c>
    </row>
    <row r="790" spans="1:20">
      <c r="A790" s="11">
        <f t="shared" si="12"/>
        <v>789</v>
      </c>
      <c r="B790" s="11">
        <v>8020020166</v>
      </c>
      <c r="C790" s="25" t="s">
        <v>309</v>
      </c>
      <c r="D790" s="27">
        <v>8924</v>
      </c>
      <c r="E790" s="11">
        <v>0.56000000000000005</v>
      </c>
      <c r="F790" s="11" t="s">
        <v>11</v>
      </c>
      <c r="G790" s="44">
        <v>4997</v>
      </c>
      <c r="H790" s="28">
        <v>4501.801801801801</v>
      </c>
      <c r="I790" s="19" t="s">
        <v>12</v>
      </c>
      <c r="J790" s="19" t="s">
        <v>13</v>
      </c>
      <c r="K790" s="32" t="s">
        <v>265</v>
      </c>
      <c r="L790" s="22"/>
      <c r="M790" s="22"/>
      <c r="N790" s="22"/>
      <c r="O790" s="20" t="s">
        <v>15</v>
      </c>
      <c r="P790" s="25" t="s">
        <v>16</v>
      </c>
      <c r="Q790" s="16">
        <v>2958465</v>
      </c>
    </row>
    <row r="791" spans="1:20">
      <c r="A791" s="11">
        <f t="shared" si="12"/>
        <v>790</v>
      </c>
      <c r="B791" s="11">
        <v>8020020167</v>
      </c>
      <c r="C791" s="25" t="s">
        <v>1196</v>
      </c>
      <c r="D791" s="27">
        <v>12152</v>
      </c>
      <c r="E791" s="11">
        <v>0.56000000000000005</v>
      </c>
      <c r="F791" s="11" t="s">
        <v>11</v>
      </c>
      <c r="G791" s="44">
        <v>6805</v>
      </c>
      <c r="H791" s="28">
        <v>6130.6306306306296</v>
      </c>
      <c r="I791" s="19" t="s">
        <v>12</v>
      </c>
      <c r="J791" s="19" t="s">
        <v>13</v>
      </c>
      <c r="K791" s="32" t="s">
        <v>265</v>
      </c>
      <c r="L791" s="22"/>
      <c r="M791" s="22"/>
      <c r="N791" s="22"/>
      <c r="O791" s="20" t="s">
        <v>15</v>
      </c>
      <c r="P791" s="25" t="s">
        <v>1197</v>
      </c>
      <c r="Q791" s="16">
        <v>2958465</v>
      </c>
      <c r="R791" s="23"/>
      <c r="T791" s="23"/>
    </row>
    <row r="792" spans="1:20">
      <c r="A792" s="11">
        <f t="shared" si="12"/>
        <v>791</v>
      </c>
      <c r="B792" s="11">
        <v>8020020168</v>
      </c>
      <c r="C792" s="25" t="s">
        <v>310</v>
      </c>
      <c r="D792" s="27">
        <v>6613</v>
      </c>
      <c r="E792" s="11">
        <v>0.56000000000000005</v>
      </c>
      <c r="F792" s="11" t="s">
        <v>11</v>
      </c>
      <c r="G792" s="44">
        <v>3703</v>
      </c>
      <c r="H792" s="28">
        <v>3336.036036036036</v>
      </c>
      <c r="I792" s="19" t="s">
        <v>12</v>
      </c>
      <c r="J792" s="19" t="s">
        <v>13</v>
      </c>
      <c r="K792" s="32" t="s">
        <v>265</v>
      </c>
      <c r="L792" s="22"/>
      <c r="M792" s="22"/>
      <c r="N792" s="22"/>
      <c r="O792" s="20" t="s">
        <v>15</v>
      </c>
      <c r="P792" s="25" t="s">
        <v>16</v>
      </c>
      <c r="Q792" s="16">
        <v>2958465</v>
      </c>
    </row>
    <row r="793" spans="1:20">
      <c r="A793" s="11">
        <f t="shared" si="12"/>
        <v>792</v>
      </c>
      <c r="B793" s="11">
        <v>8020020181</v>
      </c>
      <c r="C793" s="25" t="s">
        <v>311</v>
      </c>
      <c r="D793" s="27">
        <v>7490</v>
      </c>
      <c r="E793" s="11">
        <v>0.56000000000000005</v>
      </c>
      <c r="F793" s="11" t="s">
        <v>11</v>
      </c>
      <c r="G793" s="44">
        <v>4194</v>
      </c>
      <c r="H793" s="28">
        <v>3778.3783783783779</v>
      </c>
      <c r="I793" s="19" t="s">
        <v>12</v>
      </c>
      <c r="J793" s="19" t="s">
        <v>13</v>
      </c>
      <c r="K793" s="32" t="s">
        <v>265</v>
      </c>
      <c r="L793" s="22"/>
      <c r="M793" s="22"/>
      <c r="N793" s="22"/>
      <c r="O793" s="20" t="s">
        <v>15</v>
      </c>
      <c r="P793" s="25" t="s">
        <v>16</v>
      </c>
      <c r="Q793" s="16">
        <v>2958465</v>
      </c>
    </row>
    <row r="794" spans="1:20">
      <c r="A794" s="11">
        <f t="shared" si="12"/>
        <v>793</v>
      </c>
      <c r="B794" s="11">
        <v>8020020182</v>
      </c>
      <c r="C794" s="25" t="s">
        <v>300</v>
      </c>
      <c r="D794" s="27">
        <v>12133</v>
      </c>
      <c r="E794" s="11">
        <v>0.56000000000000005</v>
      </c>
      <c r="F794" s="11" t="s">
        <v>11</v>
      </c>
      <c r="G794" s="44">
        <v>6794</v>
      </c>
      <c r="H794" s="28">
        <v>6120.7207207207202</v>
      </c>
      <c r="I794" s="19" t="s">
        <v>12</v>
      </c>
      <c r="J794" s="19" t="s">
        <v>13</v>
      </c>
      <c r="K794" s="32" t="s">
        <v>265</v>
      </c>
      <c r="L794" s="22"/>
      <c r="M794" s="22"/>
      <c r="N794" s="22"/>
      <c r="O794" s="20" t="s">
        <v>15</v>
      </c>
      <c r="P794" s="25" t="s">
        <v>16</v>
      </c>
      <c r="Q794" s="16">
        <v>2958465</v>
      </c>
    </row>
    <row r="795" spans="1:20">
      <c r="A795" s="11">
        <f t="shared" si="12"/>
        <v>794</v>
      </c>
      <c r="B795" s="11">
        <v>8020020186</v>
      </c>
      <c r="C795" s="25" t="s">
        <v>312</v>
      </c>
      <c r="D795" s="27">
        <v>9522</v>
      </c>
      <c r="E795" s="11">
        <v>0.56000000000000005</v>
      </c>
      <c r="F795" s="11" t="s">
        <v>11</v>
      </c>
      <c r="G795" s="44">
        <v>5332</v>
      </c>
      <c r="H795" s="28">
        <v>4803.603603603603</v>
      </c>
      <c r="I795" s="19" t="s">
        <v>12</v>
      </c>
      <c r="J795" s="19" t="s">
        <v>13</v>
      </c>
      <c r="K795" s="32" t="s">
        <v>265</v>
      </c>
      <c r="L795" s="22"/>
      <c r="M795" s="22"/>
      <c r="N795" s="22"/>
      <c r="O795" s="20" t="s">
        <v>15</v>
      </c>
      <c r="P795" s="25" t="s">
        <v>16</v>
      </c>
      <c r="Q795" s="16">
        <v>2958465</v>
      </c>
    </row>
    <row r="796" spans="1:20">
      <c r="A796" s="11">
        <f t="shared" si="12"/>
        <v>795</v>
      </c>
      <c r="B796" s="11">
        <v>8020020187</v>
      </c>
      <c r="C796" s="25" t="s">
        <v>313</v>
      </c>
      <c r="D796" s="27">
        <v>4701</v>
      </c>
      <c r="E796" s="11">
        <v>0.56000000000000005</v>
      </c>
      <c r="F796" s="11" t="s">
        <v>11</v>
      </c>
      <c r="G796" s="44">
        <v>2633</v>
      </c>
      <c r="H796" s="28">
        <v>2372.0720720720719</v>
      </c>
      <c r="I796" s="19" t="s">
        <v>12</v>
      </c>
      <c r="J796" s="19" t="s">
        <v>13</v>
      </c>
      <c r="K796" s="32" t="s">
        <v>265</v>
      </c>
      <c r="L796" s="22"/>
      <c r="M796" s="22"/>
      <c r="N796" s="22"/>
      <c r="O796" s="20" t="s">
        <v>15</v>
      </c>
      <c r="P796" s="25" t="s">
        <v>16</v>
      </c>
      <c r="Q796" s="16">
        <v>2958465</v>
      </c>
    </row>
    <row r="797" spans="1:20">
      <c r="A797" s="11">
        <f t="shared" si="12"/>
        <v>796</v>
      </c>
      <c r="B797" s="11">
        <v>8020020205</v>
      </c>
      <c r="C797" s="25" t="s">
        <v>314</v>
      </c>
      <c r="D797" s="27">
        <v>7410</v>
      </c>
      <c r="E797" s="11">
        <v>0.56000000000000005</v>
      </c>
      <c r="F797" s="11" t="s">
        <v>11</v>
      </c>
      <c r="G797" s="44">
        <v>4150</v>
      </c>
      <c r="H797" s="28">
        <v>3738.7387387387384</v>
      </c>
      <c r="I797" s="19" t="s">
        <v>12</v>
      </c>
      <c r="J797" s="19" t="s">
        <v>13</v>
      </c>
      <c r="K797" s="32" t="s">
        <v>265</v>
      </c>
      <c r="L797" s="22"/>
      <c r="M797" s="22"/>
      <c r="N797" s="22"/>
      <c r="O797" s="20" t="s">
        <v>15</v>
      </c>
      <c r="P797" s="25" t="s">
        <v>16</v>
      </c>
      <c r="Q797" s="16">
        <v>2958465</v>
      </c>
    </row>
    <row r="798" spans="1:20">
      <c r="A798" s="11">
        <f t="shared" si="12"/>
        <v>797</v>
      </c>
      <c r="B798" s="11">
        <v>8020020207</v>
      </c>
      <c r="C798" s="25" t="s">
        <v>315</v>
      </c>
      <c r="D798" s="27">
        <v>1105</v>
      </c>
      <c r="E798" s="11">
        <v>0.56000000000000005</v>
      </c>
      <c r="F798" s="11" t="s">
        <v>11</v>
      </c>
      <c r="G798" s="44">
        <v>619</v>
      </c>
      <c r="H798" s="28">
        <v>557.65765765765764</v>
      </c>
      <c r="I798" s="19" t="s">
        <v>12</v>
      </c>
      <c r="J798" s="19" t="s">
        <v>13</v>
      </c>
      <c r="K798" s="32" t="s">
        <v>265</v>
      </c>
      <c r="L798" s="22"/>
      <c r="M798" s="22"/>
      <c r="N798" s="22"/>
      <c r="O798" s="20" t="s">
        <v>15</v>
      </c>
      <c r="P798" s="25" t="s">
        <v>16</v>
      </c>
      <c r="Q798" s="16">
        <v>2958465</v>
      </c>
    </row>
    <row r="799" spans="1:20">
      <c r="A799" s="11">
        <f t="shared" si="12"/>
        <v>798</v>
      </c>
      <c r="B799" s="11">
        <v>8020020223</v>
      </c>
      <c r="C799" s="25" t="s">
        <v>316</v>
      </c>
      <c r="D799" s="27">
        <v>29482</v>
      </c>
      <c r="E799" s="11">
        <v>0.56000000000000005</v>
      </c>
      <c r="F799" s="11" t="s">
        <v>11</v>
      </c>
      <c r="G799" s="44">
        <v>16510</v>
      </c>
      <c r="H799" s="28">
        <v>14873.873873873872</v>
      </c>
      <c r="I799" s="19" t="s">
        <v>12</v>
      </c>
      <c r="J799" s="19" t="s">
        <v>13</v>
      </c>
      <c r="K799" s="32" t="s">
        <v>265</v>
      </c>
      <c r="L799" s="22"/>
      <c r="M799" s="22"/>
      <c r="N799" s="22"/>
      <c r="O799" s="20" t="s">
        <v>15</v>
      </c>
      <c r="P799" s="25" t="s">
        <v>16</v>
      </c>
      <c r="Q799" s="16">
        <v>2958465</v>
      </c>
    </row>
    <row r="800" spans="1:20">
      <c r="A800" s="11">
        <f t="shared" si="12"/>
        <v>799</v>
      </c>
      <c r="B800" s="11">
        <v>8020020227</v>
      </c>
      <c r="C800" s="25" t="s">
        <v>317</v>
      </c>
      <c r="D800" s="27">
        <v>5020</v>
      </c>
      <c r="E800" s="11">
        <v>0.56000000000000005</v>
      </c>
      <c r="F800" s="11" t="s">
        <v>11</v>
      </c>
      <c r="G800" s="44">
        <v>2811</v>
      </c>
      <c r="H800" s="28">
        <v>2532.4324324324321</v>
      </c>
      <c r="I800" s="19" t="s">
        <v>12</v>
      </c>
      <c r="J800" s="19" t="s">
        <v>13</v>
      </c>
      <c r="K800" s="32" t="s">
        <v>265</v>
      </c>
      <c r="L800" s="22"/>
      <c r="M800" s="22"/>
      <c r="N800" s="22"/>
      <c r="O800" s="20" t="s">
        <v>15</v>
      </c>
      <c r="P800" s="25" t="s">
        <v>16</v>
      </c>
      <c r="Q800" s="16">
        <v>2958465</v>
      </c>
    </row>
    <row r="801" spans="1:20">
      <c r="A801" s="11">
        <f t="shared" si="12"/>
        <v>800</v>
      </c>
      <c r="B801" s="11">
        <v>8020020240</v>
      </c>
      <c r="C801" s="25" t="s">
        <v>318</v>
      </c>
      <c r="D801" s="27">
        <v>65338</v>
      </c>
      <c r="E801" s="11">
        <v>0.56000000000000005</v>
      </c>
      <c r="F801" s="11" t="s">
        <v>11</v>
      </c>
      <c r="G801" s="44">
        <v>36589</v>
      </c>
      <c r="H801" s="28">
        <v>32963.063063063062</v>
      </c>
      <c r="I801" s="19" t="s">
        <v>12</v>
      </c>
      <c r="J801" s="19" t="s">
        <v>13</v>
      </c>
      <c r="K801" s="32" t="s">
        <v>265</v>
      </c>
      <c r="L801" s="22"/>
      <c r="M801" s="22"/>
      <c r="N801" s="22"/>
      <c r="O801" s="20" t="s">
        <v>15</v>
      </c>
      <c r="P801" s="25" t="s">
        <v>16</v>
      </c>
      <c r="Q801" s="16">
        <v>2958465</v>
      </c>
    </row>
    <row r="802" spans="1:20">
      <c r="A802" s="11">
        <f t="shared" si="12"/>
        <v>801</v>
      </c>
      <c r="B802" s="11">
        <v>8020020242</v>
      </c>
      <c r="C802" s="25" t="s">
        <v>319</v>
      </c>
      <c r="D802" s="27">
        <v>10621</v>
      </c>
      <c r="E802" s="11">
        <v>0.56000000000000005</v>
      </c>
      <c r="F802" s="11" t="s">
        <v>11</v>
      </c>
      <c r="G802" s="44">
        <v>5948</v>
      </c>
      <c r="H802" s="28">
        <v>5358.5585585585577</v>
      </c>
      <c r="I802" s="19" t="s">
        <v>12</v>
      </c>
      <c r="J802" s="19" t="s">
        <v>13</v>
      </c>
      <c r="K802" s="32" t="s">
        <v>265</v>
      </c>
      <c r="L802" s="22"/>
      <c r="M802" s="22"/>
      <c r="N802" s="22"/>
      <c r="O802" s="20" t="s">
        <v>15</v>
      </c>
      <c r="P802" s="25" t="s">
        <v>16</v>
      </c>
      <c r="Q802" s="16">
        <v>2958465</v>
      </c>
    </row>
    <row r="803" spans="1:20">
      <c r="A803" s="11">
        <f t="shared" si="12"/>
        <v>802</v>
      </c>
      <c r="B803" s="11">
        <v>8020020266</v>
      </c>
      <c r="C803" s="25" t="s">
        <v>320</v>
      </c>
      <c r="D803" s="27">
        <v>5150</v>
      </c>
      <c r="E803" s="11">
        <v>0.56000000000000005</v>
      </c>
      <c r="F803" s="11" t="s">
        <v>11</v>
      </c>
      <c r="G803" s="44">
        <v>2884</v>
      </c>
      <c r="H803" s="28">
        <v>2598.198198198198</v>
      </c>
      <c r="I803" s="19" t="s">
        <v>12</v>
      </c>
      <c r="J803" s="19" t="s">
        <v>13</v>
      </c>
      <c r="K803" s="32" t="s">
        <v>265</v>
      </c>
      <c r="L803" s="22"/>
      <c r="M803" s="22"/>
      <c r="N803" s="22"/>
      <c r="O803" s="20" t="s">
        <v>15</v>
      </c>
      <c r="P803" s="25" t="s">
        <v>16</v>
      </c>
      <c r="Q803" s="16">
        <v>2958465</v>
      </c>
    </row>
    <row r="804" spans="1:20">
      <c r="A804" s="11">
        <f t="shared" si="12"/>
        <v>803</v>
      </c>
      <c r="B804" s="11">
        <v>8020020283</v>
      </c>
      <c r="C804" s="25" t="s">
        <v>321</v>
      </c>
      <c r="D804" s="27">
        <v>21514</v>
      </c>
      <c r="E804" s="11">
        <v>0.56000000000000005</v>
      </c>
      <c r="F804" s="11" t="s">
        <v>11</v>
      </c>
      <c r="G804" s="44">
        <v>12048</v>
      </c>
      <c r="H804" s="28">
        <v>10854.054054054053</v>
      </c>
      <c r="I804" s="19" t="s">
        <v>12</v>
      </c>
      <c r="J804" s="19" t="s">
        <v>13</v>
      </c>
      <c r="K804" s="32" t="s">
        <v>265</v>
      </c>
      <c r="L804" s="22"/>
      <c r="M804" s="22"/>
      <c r="N804" s="22"/>
      <c r="O804" s="20" t="s">
        <v>15</v>
      </c>
      <c r="P804" s="25" t="s">
        <v>16</v>
      </c>
      <c r="Q804" s="16">
        <v>2958465</v>
      </c>
    </row>
    <row r="805" spans="1:20">
      <c r="A805" s="11">
        <f t="shared" si="12"/>
        <v>804</v>
      </c>
      <c r="B805" s="11">
        <v>8020020302</v>
      </c>
      <c r="C805" s="25" t="s">
        <v>322</v>
      </c>
      <c r="D805" s="27">
        <v>13585</v>
      </c>
      <c r="E805" s="11">
        <v>0.56000000000000005</v>
      </c>
      <c r="F805" s="11" t="s">
        <v>11</v>
      </c>
      <c r="G805" s="44">
        <v>7608</v>
      </c>
      <c r="H805" s="28">
        <v>6854.0540540540533</v>
      </c>
      <c r="I805" s="19" t="s">
        <v>12</v>
      </c>
      <c r="J805" s="19" t="s">
        <v>13</v>
      </c>
      <c r="K805" s="32" t="s">
        <v>265</v>
      </c>
      <c r="L805" s="22"/>
      <c r="M805" s="22"/>
      <c r="N805" s="22"/>
      <c r="O805" s="20" t="s">
        <v>15</v>
      </c>
      <c r="P805" s="25" t="s">
        <v>16</v>
      </c>
      <c r="Q805" s="16">
        <v>2958465</v>
      </c>
    </row>
    <row r="806" spans="1:20">
      <c r="A806" s="11">
        <f t="shared" si="12"/>
        <v>805</v>
      </c>
      <c r="B806" s="11">
        <v>8020020307</v>
      </c>
      <c r="C806" s="25" t="s">
        <v>323</v>
      </c>
      <c r="D806" s="27">
        <v>2693</v>
      </c>
      <c r="E806" s="11">
        <v>0.56000000000000005</v>
      </c>
      <c r="F806" s="11" t="s">
        <v>11</v>
      </c>
      <c r="G806" s="44">
        <v>1508</v>
      </c>
      <c r="H806" s="28">
        <v>1358.5585585585584</v>
      </c>
      <c r="I806" s="19" t="s">
        <v>12</v>
      </c>
      <c r="J806" s="19" t="s">
        <v>13</v>
      </c>
      <c r="K806" s="32" t="s">
        <v>265</v>
      </c>
      <c r="L806" s="22"/>
      <c r="M806" s="22"/>
      <c r="N806" s="22"/>
      <c r="O806" s="20" t="s">
        <v>15</v>
      </c>
      <c r="P806" s="25" t="s">
        <v>16</v>
      </c>
      <c r="Q806" s="16">
        <v>2958465</v>
      </c>
    </row>
    <row r="807" spans="1:20">
      <c r="A807" s="11">
        <f t="shared" si="12"/>
        <v>806</v>
      </c>
      <c r="B807" s="11">
        <v>8020020324</v>
      </c>
      <c r="C807" s="25" t="s">
        <v>290</v>
      </c>
      <c r="D807" s="27">
        <v>13028</v>
      </c>
      <c r="E807" s="11">
        <v>0.56000000000000005</v>
      </c>
      <c r="F807" s="11" t="s">
        <v>11</v>
      </c>
      <c r="G807" s="44">
        <v>7296</v>
      </c>
      <c r="H807" s="28">
        <v>6572.9729729729725</v>
      </c>
      <c r="I807" s="19" t="s">
        <v>12</v>
      </c>
      <c r="J807" s="19" t="s">
        <v>13</v>
      </c>
      <c r="K807" s="32" t="s">
        <v>265</v>
      </c>
      <c r="L807" s="22"/>
      <c r="M807" s="22"/>
      <c r="N807" s="22"/>
      <c r="O807" s="20" t="s">
        <v>15</v>
      </c>
      <c r="P807" s="25" t="s">
        <v>16</v>
      </c>
      <c r="Q807" s="16">
        <v>2958465</v>
      </c>
    </row>
    <row r="808" spans="1:20">
      <c r="A808" s="11">
        <f t="shared" si="12"/>
        <v>807</v>
      </c>
      <c r="B808" s="11">
        <v>8020020337</v>
      </c>
      <c r="C808" s="25" t="s">
        <v>291</v>
      </c>
      <c r="D808" s="27">
        <v>69921</v>
      </c>
      <c r="E808" s="11">
        <v>0.56000000000000005</v>
      </c>
      <c r="F808" s="11" t="s">
        <v>11</v>
      </c>
      <c r="G808" s="44">
        <v>39156</v>
      </c>
      <c r="H808" s="28">
        <v>35275.675675675673</v>
      </c>
      <c r="I808" s="19" t="s">
        <v>12</v>
      </c>
      <c r="J808" s="19" t="s">
        <v>13</v>
      </c>
      <c r="K808" s="32" t="s">
        <v>265</v>
      </c>
      <c r="L808" s="22"/>
      <c r="M808" s="22"/>
      <c r="N808" s="22"/>
      <c r="O808" s="20" t="s">
        <v>15</v>
      </c>
      <c r="P808" s="25" t="s">
        <v>16</v>
      </c>
      <c r="Q808" s="16">
        <v>2958465</v>
      </c>
    </row>
    <row r="809" spans="1:20">
      <c r="A809" s="11">
        <f t="shared" si="12"/>
        <v>808</v>
      </c>
      <c r="B809" s="11">
        <v>8020020343</v>
      </c>
      <c r="C809" s="25" t="s">
        <v>292</v>
      </c>
      <c r="D809" s="27">
        <v>4263</v>
      </c>
      <c r="E809" s="11">
        <v>0.56000000000000005</v>
      </c>
      <c r="F809" s="11" t="s">
        <v>11</v>
      </c>
      <c r="G809" s="44">
        <v>2387</v>
      </c>
      <c r="H809" s="28">
        <v>2150.4504504504503</v>
      </c>
      <c r="I809" s="19" t="s">
        <v>12</v>
      </c>
      <c r="J809" s="19" t="s">
        <v>13</v>
      </c>
      <c r="K809" s="32" t="s">
        <v>265</v>
      </c>
      <c r="L809" s="22"/>
      <c r="M809" s="22"/>
      <c r="N809" s="22"/>
      <c r="O809" s="20" t="s">
        <v>15</v>
      </c>
      <c r="P809" s="25" t="s">
        <v>16</v>
      </c>
      <c r="Q809" s="16">
        <v>2958465</v>
      </c>
    </row>
    <row r="810" spans="1:20">
      <c r="A810" s="11">
        <f t="shared" si="12"/>
        <v>809</v>
      </c>
      <c r="B810" s="11">
        <v>8020020344</v>
      </c>
      <c r="C810" s="25" t="s">
        <v>293</v>
      </c>
      <c r="D810" s="27">
        <v>11793</v>
      </c>
      <c r="E810" s="11">
        <v>0.56000000000000005</v>
      </c>
      <c r="F810" s="11" t="s">
        <v>11</v>
      </c>
      <c r="G810" s="44">
        <v>6604</v>
      </c>
      <c r="H810" s="28">
        <v>5949.5495495495488</v>
      </c>
      <c r="I810" s="19" t="s">
        <v>12</v>
      </c>
      <c r="J810" s="19" t="s">
        <v>13</v>
      </c>
      <c r="K810" s="32" t="s">
        <v>265</v>
      </c>
      <c r="L810" s="22"/>
      <c r="M810" s="22"/>
      <c r="N810" s="22"/>
      <c r="O810" s="20" t="s">
        <v>15</v>
      </c>
      <c r="P810" s="25" t="s">
        <v>16</v>
      </c>
      <c r="Q810" s="16">
        <v>2958465</v>
      </c>
    </row>
    <row r="811" spans="1:20">
      <c r="A811" s="11">
        <f t="shared" si="12"/>
        <v>810</v>
      </c>
      <c r="B811" s="11">
        <v>8020020349</v>
      </c>
      <c r="C811" s="25" t="s">
        <v>294</v>
      </c>
      <c r="D811" s="27">
        <v>28685</v>
      </c>
      <c r="E811" s="11">
        <v>0.56000000000000005</v>
      </c>
      <c r="F811" s="11" t="s">
        <v>11</v>
      </c>
      <c r="G811" s="44">
        <v>16064</v>
      </c>
      <c r="H811" s="28">
        <v>14472.072072072071</v>
      </c>
      <c r="I811" s="19" t="s">
        <v>12</v>
      </c>
      <c r="J811" s="19" t="s">
        <v>13</v>
      </c>
      <c r="K811" s="32" t="s">
        <v>265</v>
      </c>
      <c r="L811" s="22"/>
      <c r="M811" s="22"/>
      <c r="N811" s="22"/>
      <c r="O811" s="20" t="s">
        <v>15</v>
      </c>
      <c r="P811" s="25" t="s">
        <v>16</v>
      </c>
      <c r="Q811" s="16">
        <v>2958465</v>
      </c>
    </row>
    <row r="812" spans="1:20">
      <c r="A812" s="11">
        <f t="shared" si="12"/>
        <v>811</v>
      </c>
      <c r="B812" s="11">
        <v>8020020373</v>
      </c>
      <c r="C812" s="25" t="s">
        <v>295</v>
      </c>
      <c r="D812" s="27">
        <v>19642</v>
      </c>
      <c r="E812" s="11">
        <v>0.56000000000000005</v>
      </c>
      <c r="F812" s="11" t="s">
        <v>11</v>
      </c>
      <c r="G812" s="44">
        <v>11000</v>
      </c>
      <c r="H812" s="28">
        <v>9909.9099099099094</v>
      </c>
      <c r="I812" s="19" t="s">
        <v>12</v>
      </c>
      <c r="J812" s="19" t="s">
        <v>13</v>
      </c>
      <c r="K812" s="32" t="s">
        <v>265</v>
      </c>
      <c r="L812" s="22"/>
      <c r="M812" s="22"/>
      <c r="N812" s="22"/>
      <c r="O812" s="20" t="s">
        <v>15</v>
      </c>
      <c r="P812" s="25" t="s">
        <v>16</v>
      </c>
      <c r="Q812" s="16">
        <v>2958465</v>
      </c>
    </row>
    <row r="813" spans="1:20">
      <c r="A813" s="11">
        <f t="shared" si="12"/>
        <v>812</v>
      </c>
      <c r="B813" s="11">
        <v>8020020375</v>
      </c>
      <c r="C813" s="25" t="s">
        <v>296</v>
      </c>
      <c r="D813" s="27">
        <v>62150</v>
      </c>
      <c r="E813" s="11">
        <v>0.56000000000000005</v>
      </c>
      <c r="F813" s="11" t="s">
        <v>11</v>
      </c>
      <c r="G813" s="44">
        <v>34804</v>
      </c>
      <c r="H813" s="28">
        <v>31354.954954954952</v>
      </c>
      <c r="I813" s="19" t="s">
        <v>12</v>
      </c>
      <c r="J813" s="19" t="s">
        <v>13</v>
      </c>
      <c r="K813" s="32" t="s">
        <v>265</v>
      </c>
      <c r="L813" s="22"/>
      <c r="M813" s="22"/>
      <c r="N813" s="22"/>
      <c r="O813" s="20" t="s">
        <v>15</v>
      </c>
      <c r="P813" s="25" t="s">
        <v>16</v>
      </c>
      <c r="Q813" s="16">
        <v>2958465</v>
      </c>
    </row>
    <row r="814" spans="1:20" ht="15">
      <c r="A814" s="11">
        <f t="shared" si="12"/>
        <v>813</v>
      </c>
      <c r="B814" s="34">
        <v>8020020393</v>
      </c>
      <c r="C814" s="35" t="s">
        <v>1447</v>
      </c>
      <c r="D814" s="34"/>
      <c r="E814" s="34"/>
      <c r="F814" s="34" t="s">
        <v>11</v>
      </c>
      <c r="G814" s="45">
        <v>0</v>
      </c>
      <c r="H814" s="34">
        <v>0</v>
      </c>
      <c r="I814" s="34"/>
      <c r="J814" s="34"/>
      <c r="K814" s="40" t="s">
        <v>265</v>
      </c>
      <c r="L814" s="34"/>
      <c r="M814" s="34"/>
      <c r="N814" s="34"/>
      <c r="O814" s="34"/>
      <c r="P814" s="34"/>
      <c r="Q814" s="16">
        <v>2958465</v>
      </c>
      <c r="R814" s="36"/>
      <c r="S814" s="36"/>
      <c r="T814" s="36"/>
    </row>
    <row r="815" spans="1:20">
      <c r="A815" s="11">
        <f t="shared" si="12"/>
        <v>814</v>
      </c>
      <c r="B815" s="34">
        <v>8020020399</v>
      </c>
      <c r="C815" s="52" t="s">
        <v>1445</v>
      </c>
      <c r="D815" s="34"/>
      <c r="E815" s="34"/>
      <c r="F815" s="34" t="s">
        <v>11</v>
      </c>
      <c r="G815" s="45">
        <v>0</v>
      </c>
      <c r="H815" s="34">
        <v>0</v>
      </c>
      <c r="I815" s="34"/>
      <c r="J815" s="34"/>
      <c r="K815" s="38"/>
      <c r="L815" s="34"/>
      <c r="M815" s="34"/>
      <c r="N815" s="34"/>
      <c r="O815" s="34"/>
      <c r="P815" s="34"/>
      <c r="Q815" s="16">
        <v>2958465</v>
      </c>
      <c r="R815" s="36"/>
      <c r="S815" s="36"/>
      <c r="T815" s="36"/>
    </row>
    <row r="816" spans="1:20">
      <c r="A816" s="11">
        <f t="shared" si="12"/>
        <v>815</v>
      </c>
      <c r="B816" s="11">
        <v>8020020405</v>
      </c>
      <c r="C816" s="25" t="s">
        <v>297</v>
      </c>
      <c r="D816" s="27">
        <v>37450</v>
      </c>
      <c r="E816" s="11">
        <v>0.56000000000000005</v>
      </c>
      <c r="F816" s="11" t="s">
        <v>11</v>
      </c>
      <c r="G816" s="44">
        <v>20972</v>
      </c>
      <c r="H816" s="28">
        <v>18893.693693693691</v>
      </c>
      <c r="I816" s="19" t="s">
        <v>12</v>
      </c>
      <c r="J816" s="19" t="s">
        <v>13</v>
      </c>
      <c r="K816" s="32" t="s">
        <v>265</v>
      </c>
      <c r="L816" s="22"/>
      <c r="M816" s="22"/>
      <c r="N816" s="22"/>
      <c r="O816" s="20" t="s">
        <v>15</v>
      </c>
      <c r="P816" s="25" t="s">
        <v>16</v>
      </c>
      <c r="Q816" s="16">
        <v>2958465</v>
      </c>
    </row>
    <row r="817" spans="1:18">
      <c r="A817" s="11">
        <f t="shared" si="12"/>
        <v>816</v>
      </c>
      <c r="B817" s="11">
        <v>8020020406</v>
      </c>
      <c r="C817" s="25" t="s">
        <v>298</v>
      </c>
      <c r="D817" s="27">
        <v>86372</v>
      </c>
      <c r="E817" s="11">
        <v>0.56000000000000005</v>
      </c>
      <c r="F817" s="11" t="s">
        <v>11</v>
      </c>
      <c r="G817" s="44">
        <v>48368</v>
      </c>
      <c r="H817" s="28">
        <v>43574.774774774771</v>
      </c>
      <c r="I817" s="19" t="s">
        <v>12</v>
      </c>
      <c r="J817" s="19" t="s">
        <v>13</v>
      </c>
      <c r="K817" s="32" t="s">
        <v>265</v>
      </c>
      <c r="L817" s="22"/>
      <c r="M817" s="22"/>
      <c r="N817" s="22"/>
      <c r="O817" s="20" t="s">
        <v>15</v>
      </c>
      <c r="P817" s="25" t="s">
        <v>16</v>
      </c>
      <c r="Q817" s="16">
        <v>2958465</v>
      </c>
    </row>
    <row r="818" spans="1:18">
      <c r="A818" s="11">
        <f t="shared" si="12"/>
        <v>817</v>
      </c>
      <c r="B818" s="11">
        <v>8020020410</v>
      </c>
      <c r="C818" s="25" t="s">
        <v>289</v>
      </c>
      <c r="D818" s="27">
        <v>5657</v>
      </c>
      <c r="E818" s="11">
        <v>0.56000000000000005</v>
      </c>
      <c r="F818" s="11" t="s">
        <v>11</v>
      </c>
      <c r="G818" s="44">
        <v>3168</v>
      </c>
      <c r="H818" s="28">
        <v>2854.0540540540537</v>
      </c>
      <c r="I818" s="19" t="s">
        <v>12</v>
      </c>
      <c r="J818" s="19" t="s">
        <v>13</v>
      </c>
      <c r="K818" s="32" t="s">
        <v>265</v>
      </c>
      <c r="L818" s="22"/>
      <c r="M818" s="22"/>
      <c r="N818" s="22"/>
      <c r="O818" s="20" t="s">
        <v>15</v>
      </c>
      <c r="P818" s="25" t="s">
        <v>16</v>
      </c>
      <c r="Q818" s="16">
        <v>2958465</v>
      </c>
    </row>
    <row r="819" spans="1:18">
      <c r="A819" s="11">
        <f t="shared" si="12"/>
        <v>818</v>
      </c>
      <c r="B819" s="11">
        <v>8020020430</v>
      </c>
      <c r="C819" s="25" t="s">
        <v>267</v>
      </c>
      <c r="D819" s="27">
        <v>17623</v>
      </c>
      <c r="E819" s="11">
        <v>0.56000000000000005</v>
      </c>
      <c r="F819" s="11" t="s">
        <v>11</v>
      </c>
      <c r="G819" s="44">
        <v>9869</v>
      </c>
      <c r="H819" s="28">
        <v>8890.9909909909893</v>
      </c>
      <c r="I819" s="19" t="s">
        <v>12</v>
      </c>
      <c r="J819" s="19" t="s">
        <v>13</v>
      </c>
      <c r="K819" s="32" t="s">
        <v>265</v>
      </c>
      <c r="L819" s="22"/>
      <c r="M819" s="22"/>
      <c r="N819" s="22"/>
      <c r="O819" s="20" t="s">
        <v>15</v>
      </c>
      <c r="P819" s="25" t="s">
        <v>16</v>
      </c>
      <c r="Q819" s="16">
        <v>2958465</v>
      </c>
    </row>
    <row r="820" spans="1:18">
      <c r="A820" s="11">
        <f t="shared" si="12"/>
        <v>819</v>
      </c>
      <c r="B820" s="11">
        <v>8020020432</v>
      </c>
      <c r="C820" s="25" t="s">
        <v>268</v>
      </c>
      <c r="D820" s="27">
        <v>52589</v>
      </c>
      <c r="E820" s="11">
        <v>0.56000000000000005</v>
      </c>
      <c r="F820" s="11" t="s">
        <v>11</v>
      </c>
      <c r="G820" s="44">
        <v>29450</v>
      </c>
      <c r="H820" s="28">
        <v>26531.531531531527</v>
      </c>
      <c r="I820" s="19" t="s">
        <v>12</v>
      </c>
      <c r="J820" s="19" t="s">
        <v>13</v>
      </c>
      <c r="K820" s="32" t="s">
        <v>265</v>
      </c>
      <c r="L820" s="22"/>
      <c r="M820" s="22"/>
      <c r="N820" s="22"/>
      <c r="O820" s="20" t="s">
        <v>15</v>
      </c>
      <c r="P820" s="25" t="s">
        <v>16</v>
      </c>
      <c r="Q820" s="16">
        <v>2958465</v>
      </c>
    </row>
    <row r="821" spans="1:18">
      <c r="A821" s="11">
        <f t="shared" si="12"/>
        <v>820</v>
      </c>
      <c r="B821" s="11">
        <v>8020020480</v>
      </c>
      <c r="C821" s="25" t="s">
        <v>269</v>
      </c>
      <c r="D821" s="27">
        <v>28685</v>
      </c>
      <c r="E821" s="11">
        <v>0.56000000000000005</v>
      </c>
      <c r="F821" s="11" t="s">
        <v>11</v>
      </c>
      <c r="G821" s="44">
        <v>16064</v>
      </c>
      <c r="H821" s="28">
        <v>14472.072072072071</v>
      </c>
      <c r="I821" s="19" t="s">
        <v>12</v>
      </c>
      <c r="J821" s="19" t="s">
        <v>13</v>
      </c>
      <c r="K821" s="32" t="s">
        <v>265</v>
      </c>
      <c r="L821" s="22"/>
      <c r="M821" s="22"/>
      <c r="N821" s="22"/>
      <c r="O821" s="20" t="s">
        <v>15</v>
      </c>
      <c r="P821" s="25" t="s">
        <v>16</v>
      </c>
      <c r="Q821" s="16">
        <v>2958465</v>
      </c>
    </row>
    <row r="822" spans="1:18">
      <c r="A822" s="11">
        <f t="shared" si="12"/>
        <v>821</v>
      </c>
      <c r="B822" s="11">
        <v>8020020508</v>
      </c>
      <c r="C822" s="25" t="s">
        <v>270</v>
      </c>
      <c r="D822" s="27">
        <v>25912</v>
      </c>
      <c r="E822" s="11">
        <v>0.56000000000000005</v>
      </c>
      <c r="F822" s="11" t="s">
        <v>11</v>
      </c>
      <c r="G822" s="44">
        <v>14511</v>
      </c>
      <c r="H822" s="28">
        <v>13072.972972972972</v>
      </c>
      <c r="I822" s="19" t="s">
        <v>12</v>
      </c>
      <c r="J822" s="19" t="s">
        <v>13</v>
      </c>
      <c r="K822" s="32" t="s">
        <v>265</v>
      </c>
      <c r="L822" s="22"/>
      <c r="M822" s="22"/>
      <c r="N822" s="22"/>
      <c r="O822" s="20" t="s">
        <v>15</v>
      </c>
      <c r="P822" s="25" t="s">
        <v>16</v>
      </c>
      <c r="Q822" s="16">
        <v>2958465</v>
      </c>
    </row>
    <row r="823" spans="1:18">
      <c r="A823" s="11">
        <f t="shared" si="12"/>
        <v>822</v>
      </c>
      <c r="B823" s="11">
        <v>8020020523</v>
      </c>
      <c r="C823" s="25" t="s">
        <v>1206</v>
      </c>
      <c r="D823" s="27">
        <v>39873</v>
      </c>
      <c r="E823" s="11">
        <v>0.56000000000000005</v>
      </c>
      <c r="F823" s="11" t="s">
        <v>11</v>
      </c>
      <c r="G823" s="44">
        <v>22329</v>
      </c>
      <c r="H823" s="28">
        <v>20116.216216216213</v>
      </c>
      <c r="I823" s="19" t="s">
        <v>12</v>
      </c>
      <c r="J823" s="19" t="s">
        <v>13</v>
      </c>
      <c r="K823" s="32" t="s">
        <v>265</v>
      </c>
      <c r="L823" s="22"/>
      <c r="M823" s="22"/>
      <c r="N823" s="22"/>
      <c r="O823" s="22" t="s">
        <v>15</v>
      </c>
      <c r="P823" s="25" t="s">
        <v>1205</v>
      </c>
      <c r="Q823" s="16">
        <v>2958465</v>
      </c>
      <c r="R823" s="24"/>
    </row>
    <row r="824" spans="1:18">
      <c r="A824" s="11">
        <f t="shared" si="12"/>
        <v>823</v>
      </c>
      <c r="B824" s="11">
        <v>8020020524</v>
      </c>
      <c r="C824" s="25" t="s">
        <v>1207</v>
      </c>
      <c r="D824" s="27">
        <v>82374</v>
      </c>
      <c r="E824" s="11">
        <v>0.56000000000000005</v>
      </c>
      <c r="F824" s="11" t="s">
        <v>11</v>
      </c>
      <c r="G824" s="44">
        <v>46129</v>
      </c>
      <c r="H824" s="28">
        <v>41557.657657657655</v>
      </c>
      <c r="I824" s="19" t="s">
        <v>12</v>
      </c>
      <c r="J824" s="19" t="s">
        <v>13</v>
      </c>
      <c r="K824" s="32" t="s">
        <v>265</v>
      </c>
      <c r="L824" s="22"/>
      <c r="M824" s="22"/>
      <c r="N824" s="22"/>
      <c r="O824" s="22" t="s">
        <v>15</v>
      </c>
      <c r="P824" s="25" t="s">
        <v>1205</v>
      </c>
      <c r="Q824" s="16">
        <v>2958465</v>
      </c>
      <c r="R824" s="24"/>
    </row>
    <row r="825" spans="1:18">
      <c r="A825" s="11">
        <f t="shared" si="12"/>
        <v>824</v>
      </c>
      <c r="B825" s="11">
        <v>8020020556</v>
      </c>
      <c r="C825" s="25" t="s">
        <v>271</v>
      </c>
      <c r="D825" s="27">
        <v>15896</v>
      </c>
      <c r="E825" s="11">
        <v>0.56000000000000005</v>
      </c>
      <c r="F825" s="11" t="s">
        <v>11</v>
      </c>
      <c r="G825" s="44">
        <v>8902</v>
      </c>
      <c r="H825" s="28">
        <v>8019.8198198198188</v>
      </c>
      <c r="I825" s="19" t="s">
        <v>12</v>
      </c>
      <c r="J825" s="19" t="s">
        <v>13</v>
      </c>
      <c r="K825" s="32" t="s">
        <v>265</v>
      </c>
      <c r="L825" s="22"/>
      <c r="M825" s="22"/>
      <c r="N825" s="22"/>
      <c r="O825" s="20" t="s">
        <v>15</v>
      </c>
      <c r="P825" s="25" t="s">
        <v>16</v>
      </c>
      <c r="Q825" s="16">
        <v>2958465</v>
      </c>
    </row>
    <row r="826" spans="1:18">
      <c r="A826" s="11">
        <f t="shared" si="12"/>
        <v>825</v>
      </c>
      <c r="B826" s="11">
        <v>8020020558</v>
      </c>
      <c r="C826" s="25" t="s">
        <v>272</v>
      </c>
      <c r="D826" s="27">
        <v>35458</v>
      </c>
      <c r="E826" s="11">
        <v>0.56000000000000005</v>
      </c>
      <c r="F826" s="11" t="s">
        <v>11</v>
      </c>
      <c r="G826" s="44">
        <v>19856</v>
      </c>
      <c r="H826" s="28">
        <v>17888.288288288288</v>
      </c>
      <c r="I826" s="19" t="s">
        <v>12</v>
      </c>
      <c r="J826" s="19" t="s">
        <v>13</v>
      </c>
      <c r="K826" s="32" t="s">
        <v>265</v>
      </c>
      <c r="L826" s="22"/>
      <c r="M826" s="22"/>
      <c r="N826" s="22"/>
      <c r="O826" s="20" t="s">
        <v>15</v>
      </c>
      <c r="P826" s="25" t="s">
        <v>16</v>
      </c>
      <c r="Q826" s="16">
        <v>2958465</v>
      </c>
    </row>
    <row r="827" spans="1:18">
      <c r="A827" s="11">
        <f t="shared" si="12"/>
        <v>826</v>
      </c>
      <c r="B827" s="11">
        <v>8020020563</v>
      </c>
      <c r="C827" s="25" t="s">
        <v>273</v>
      </c>
      <c r="D827" s="27">
        <v>2355</v>
      </c>
      <c r="E827" s="11">
        <v>0.56000000000000005</v>
      </c>
      <c r="F827" s="11" t="s">
        <v>11</v>
      </c>
      <c r="G827" s="44">
        <v>1319</v>
      </c>
      <c r="H827" s="28">
        <v>1188.2882882882882</v>
      </c>
      <c r="I827" s="19" t="s">
        <v>12</v>
      </c>
      <c r="J827" s="19" t="s">
        <v>13</v>
      </c>
      <c r="K827" s="32" t="s">
        <v>265</v>
      </c>
      <c r="L827" s="22"/>
      <c r="M827" s="22"/>
      <c r="N827" s="22"/>
      <c r="O827" s="20" t="s">
        <v>15</v>
      </c>
      <c r="P827" s="25" t="s">
        <v>16</v>
      </c>
      <c r="Q827" s="16">
        <v>2958465</v>
      </c>
    </row>
    <row r="828" spans="1:18">
      <c r="A828" s="11">
        <f t="shared" si="12"/>
        <v>827</v>
      </c>
      <c r="B828" s="11">
        <v>8020020588</v>
      </c>
      <c r="C828" s="25" t="s">
        <v>274</v>
      </c>
      <c r="D828" s="27">
        <v>21115</v>
      </c>
      <c r="E828" s="11">
        <v>0.56000000000000005</v>
      </c>
      <c r="F828" s="11" t="s">
        <v>11</v>
      </c>
      <c r="G828" s="44">
        <v>11824</v>
      </c>
      <c r="H828" s="28">
        <v>10652.252252252252</v>
      </c>
      <c r="I828" s="19" t="s">
        <v>12</v>
      </c>
      <c r="J828" s="19" t="s">
        <v>13</v>
      </c>
      <c r="K828" s="32" t="s">
        <v>265</v>
      </c>
      <c r="L828" s="22"/>
      <c r="M828" s="22"/>
      <c r="N828" s="22"/>
      <c r="O828" s="20" t="s">
        <v>15</v>
      </c>
      <c r="P828" s="25" t="s">
        <v>16</v>
      </c>
      <c r="Q828" s="16">
        <v>2958465</v>
      </c>
    </row>
    <row r="829" spans="1:18">
      <c r="A829" s="11">
        <f t="shared" si="12"/>
        <v>828</v>
      </c>
      <c r="B829" s="11">
        <v>8020020592</v>
      </c>
      <c r="C829" s="25" t="s">
        <v>275</v>
      </c>
      <c r="D829" s="27">
        <v>46477</v>
      </c>
      <c r="E829" s="11">
        <v>0.56000000000000005</v>
      </c>
      <c r="F829" s="11" t="s">
        <v>11</v>
      </c>
      <c r="G829" s="44">
        <v>26027</v>
      </c>
      <c r="H829" s="28">
        <v>23447.747747747744</v>
      </c>
      <c r="I829" s="19" t="s">
        <v>12</v>
      </c>
      <c r="J829" s="19" t="s">
        <v>13</v>
      </c>
      <c r="K829" s="32" t="s">
        <v>265</v>
      </c>
      <c r="L829" s="22"/>
      <c r="M829" s="22"/>
      <c r="N829" s="22"/>
      <c r="O829" s="20" t="s">
        <v>15</v>
      </c>
      <c r="P829" s="25" t="s">
        <v>16</v>
      </c>
      <c r="Q829" s="16">
        <v>2958465</v>
      </c>
    </row>
    <row r="830" spans="1:18">
      <c r="A830" s="11">
        <f t="shared" si="12"/>
        <v>829</v>
      </c>
      <c r="B830" s="11">
        <v>8020020595</v>
      </c>
      <c r="C830" s="25" t="s">
        <v>276</v>
      </c>
      <c r="D830" s="27">
        <v>1600</v>
      </c>
      <c r="E830" s="11">
        <v>0.56000000000000005</v>
      </c>
      <c r="F830" s="11" t="s">
        <v>11</v>
      </c>
      <c r="G830" s="44">
        <v>896</v>
      </c>
      <c r="H830" s="28">
        <v>807.20720720720715</v>
      </c>
      <c r="I830" s="19" t="s">
        <v>12</v>
      </c>
      <c r="J830" s="19" t="s">
        <v>13</v>
      </c>
      <c r="K830" s="32" t="s">
        <v>265</v>
      </c>
      <c r="L830" s="22"/>
      <c r="M830" s="22"/>
      <c r="N830" s="22"/>
      <c r="O830" s="20" t="s">
        <v>15</v>
      </c>
      <c r="P830" s="25" t="s">
        <v>16</v>
      </c>
      <c r="Q830" s="16">
        <v>2958465</v>
      </c>
    </row>
    <row r="831" spans="1:18">
      <c r="A831" s="11">
        <f t="shared" si="12"/>
        <v>830</v>
      </c>
      <c r="B831" s="11">
        <v>8020020597</v>
      </c>
      <c r="C831" s="25" t="s">
        <v>277</v>
      </c>
      <c r="D831" s="27">
        <v>3526</v>
      </c>
      <c r="E831" s="11">
        <v>0.56000000000000005</v>
      </c>
      <c r="F831" s="11" t="s">
        <v>11</v>
      </c>
      <c r="G831" s="44">
        <v>1975</v>
      </c>
      <c r="H831" s="28">
        <v>1779.2792792792791</v>
      </c>
      <c r="I831" s="19" t="s">
        <v>12</v>
      </c>
      <c r="J831" s="19" t="s">
        <v>13</v>
      </c>
      <c r="K831" s="32" t="s">
        <v>265</v>
      </c>
      <c r="L831" s="22"/>
      <c r="M831" s="22"/>
      <c r="N831" s="22"/>
      <c r="O831" s="20" t="s">
        <v>15</v>
      </c>
      <c r="P831" s="25" t="s">
        <v>16</v>
      </c>
      <c r="Q831" s="16">
        <v>2958465</v>
      </c>
    </row>
    <row r="832" spans="1:18">
      <c r="A832" s="11">
        <f t="shared" si="12"/>
        <v>831</v>
      </c>
      <c r="B832" s="11">
        <v>8020020632</v>
      </c>
      <c r="C832" s="25" t="s">
        <v>1208</v>
      </c>
      <c r="D832" s="27">
        <v>39873</v>
      </c>
      <c r="E832" s="11">
        <v>0.56000000000000005</v>
      </c>
      <c r="F832" s="11" t="s">
        <v>11</v>
      </c>
      <c r="G832" s="44">
        <v>22329</v>
      </c>
      <c r="H832" s="28">
        <v>20116.216216216213</v>
      </c>
      <c r="I832" s="19" t="s">
        <v>12</v>
      </c>
      <c r="J832" s="19" t="s">
        <v>13</v>
      </c>
      <c r="K832" s="32" t="s">
        <v>265</v>
      </c>
      <c r="L832" s="22"/>
      <c r="M832" s="22"/>
      <c r="N832" s="22"/>
      <c r="O832" s="22" t="s">
        <v>15</v>
      </c>
      <c r="P832" s="25" t="s">
        <v>1205</v>
      </c>
      <c r="Q832" s="16">
        <v>2958465</v>
      </c>
      <c r="R832" s="24"/>
    </row>
    <row r="833" spans="1:20">
      <c r="A833" s="11">
        <f t="shared" si="12"/>
        <v>832</v>
      </c>
      <c r="B833" s="11">
        <v>8020020634</v>
      </c>
      <c r="C833" s="25" t="s">
        <v>278</v>
      </c>
      <c r="D833" s="27">
        <v>3872</v>
      </c>
      <c r="E833" s="11">
        <v>0.56000000000000005</v>
      </c>
      <c r="F833" s="11" t="s">
        <v>11</v>
      </c>
      <c r="G833" s="44">
        <v>2168</v>
      </c>
      <c r="H833" s="28">
        <v>1953.153153153153</v>
      </c>
      <c r="I833" s="19" t="s">
        <v>12</v>
      </c>
      <c r="J833" s="19" t="s">
        <v>13</v>
      </c>
      <c r="K833" s="32" t="s">
        <v>265</v>
      </c>
      <c r="L833" s="22"/>
      <c r="M833" s="22"/>
      <c r="N833" s="22"/>
      <c r="O833" s="20" t="s">
        <v>15</v>
      </c>
      <c r="P833" s="25" t="s">
        <v>16</v>
      </c>
      <c r="Q833" s="16">
        <v>2958465</v>
      </c>
    </row>
    <row r="834" spans="1:20">
      <c r="A834" s="11">
        <f t="shared" si="12"/>
        <v>833</v>
      </c>
      <c r="B834" s="11">
        <v>8020020639</v>
      </c>
      <c r="C834" s="25" t="s">
        <v>279</v>
      </c>
      <c r="D834" s="27">
        <v>27490</v>
      </c>
      <c r="E834" s="11">
        <v>0.56000000000000005</v>
      </c>
      <c r="F834" s="11" t="s">
        <v>11</v>
      </c>
      <c r="G834" s="44">
        <v>15394</v>
      </c>
      <c r="H834" s="28">
        <v>13868.468468468467</v>
      </c>
      <c r="I834" s="19" t="s">
        <v>12</v>
      </c>
      <c r="J834" s="19" t="s">
        <v>13</v>
      </c>
      <c r="K834" s="32" t="s">
        <v>265</v>
      </c>
      <c r="L834" s="22"/>
      <c r="M834" s="22"/>
      <c r="N834" s="22"/>
      <c r="O834" s="20" t="s">
        <v>15</v>
      </c>
      <c r="P834" s="25" t="s">
        <v>16</v>
      </c>
      <c r="Q834" s="16">
        <v>2958465</v>
      </c>
    </row>
    <row r="835" spans="1:20">
      <c r="A835" s="11">
        <f t="shared" si="12"/>
        <v>834</v>
      </c>
      <c r="B835" s="11">
        <v>8020020643</v>
      </c>
      <c r="C835" s="25" t="s">
        <v>280</v>
      </c>
      <c r="D835" s="27">
        <v>5179</v>
      </c>
      <c r="E835" s="11">
        <v>0.56000000000000005</v>
      </c>
      <c r="F835" s="11" t="s">
        <v>11</v>
      </c>
      <c r="G835" s="44">
        <v>2900</v>
      </c>
      <c r="H835" s="28">
        <v>2612.6126126126123</v>
      </c>
      <c r="I835" s="19" t="s">
        <v>12</v>
      </c>
      <c r="J835" s="19" t="s">
        <v>13</v>
      </c>
      <c r="K835" s="32" t="s">
        <v>265</v>
      </c>
      <c r="L835" s="22"/>
      <c r="M835" s="22"/>
      <c r="N835" s="22"/>
      <c r="O835" s="20" t="s">
        <v>15</v>
      </c>
      <c r="P835" s="25" t="s">
        <v>16</v>
      </c>
      <c r="Q835" s="16">
        <v>2958465</v>
      </c>
    </row>
    <row r="836" spans="1:20">
      <c r="A836" s="11">
        <f t="shared" si="12"/>
        <v>835</v>
      </c>
      <c r="B836" s="11">
        <v>8020020672</v>
      </c>
      <c r="C836" s="25" t="s">
        <v>281</v>
      </c>
      <c r="D836" s="27">
        <v>79282</v>
      </c>
      <c r="E836" s="11">
        <v>0.56000000000000005</v>
      </c>
      <c r="F836" s="11" t="s">
        <v>11</v>
      </c>
      <c r="G836" s="44">
        <v>44398</v>
      </c>
      <c r="H836" s="28">
        <v>39998.198198198195</v>
      </c>
      <c r="I836" s="19" t="s">
        <v>12</v>
      </c>
      <c r="J836" s="19" t="s">
        <v>13</v>
      </c>
      <c r="K836" s="32" t="s">
        <v>265</v>
      </c>
      <c r="L836" s="22"/>
      <c r="M836" s="22"/>
      <c r="N836" s="22"/>
      <c r="O836" s="20" t="s">
        <v>15</v>
      </c>
      <c r="P836" s="25" t="s">
        <v>16</v>
      </c>
      <c r="Q836" s="16">
        <v>2958465</v>
      </c>
    </row>
    <row r="837" spans="1:20">
      <c r="A837" s="11">
        <f t="shared" ref="A837:A900" si="13">ROW()-1</f>
        <v>836</v>
      </c>
      <c r="B837" s="11">
        <v>8020020676</v>
      </c>
      <c r="C837" s="25" t="s">
        <v>282</v>
      </c>
      <c r="D837" s="27">
        <v>110755</v>
      </c>
      <c r="E837" s="11">
        <v>0.56000000000000005</v>
      </c>
      <c r="F837" s="11" t="s">
        <v>11</v>
      </c>
      <c r="G837" s="44">
        <v>62023</v>
      </c>
      <c r="H837" s="28">
        <v>55876.576576576568</v>
      </c>
      <c r="I837" s="19" t="s">
        <v>12</v>
      </c>
      <c r="J837" s="19" t="s">
        <v>13</v>
      </c>
      <c r="K837" s="32" t="s">
        <v>265</v>
      </c>
      <c r="L837" s="22"/>
      <c r="M837" s="22"/>
      <c r="N837" s="22"/>
      <c r="O837" s="20" t="s">
        <v>15</v>
      </c>
      <c r="P837" s="25" t="s">
        <v>16</v>
      </c>
      <c r="Q837" s="16">
        <v>2958465</v>
      </c>
    </row>
    <row r="838" spans="1:20">
      <c r="A838" s="11">
        <f t="shared" si="13"/>
        <v>837</v>
      </c>
      <c r="B838" s="11">
        <v>8020020730</v>
      </c>
      <c r="C838" s="25" t="s">
        <v>283</v>
      </c>
      <c r="D838" s="27">
        <v>19283</v>
      </c>
      <c r="E838" s="11">
        <v>0.56000000000000005</v>
      </c>
      <c r="F838" s="11" t="s">
        <v>11</v>
      </c>
      <c r="G838" s="44">
        <v>10798</v>
      </c>
      <c r="H838" s="28">
        <v>9727.9279279279272</v>
      </c>
      <c r="I838" s="19" t="s">
        <v>12</v>
      </c>
      <c r="J838" s="19" t="s">
        <v>13</v>
      </c>
      <c r="K838" s="32" t="s">
        <v>265</v>
      </c>
      <c r="L838" s="22"/>
      <c r="M838" s="22"/>
      <c r="N838" s="22"/>
      <c r="O838" s="20" t="s">
        <v>15</v>
      </c>
      <c r="P838" s="25" t="s">
        <v>16</v>
      </c>
      <c r="Q838" s="16">
        <v>2958465</v>
      </c>
    </row>
    <row r="839" spans="1:20">
      <c r="A839" s="11">
        <f t="shared" si="13"/>
        <v>838</v>
      </c>
      <c r="B839" s="11">
        <v>8020020746</v>
      </c>
      <c r="C839" s="25" t="s">
        <v>1209</v>
      </c>
      <c r="D839" s="27">
        <v>11305</v>
      </c>
      <c r="E839" s="11">
        <v>0.56000000000000005</v>
      </c>
      <c r="F839" s="11" t="s">
        <v>11</v>
      </c>
      <c r="G839" s="44">
        <v>6331</v>
      </c>
      <c r="H839" s="28">
        <v>5703.603603603603</v>
      </c>
      <c r="I839" s="19" t="s">
        <v>12</v>
      </c>
      <c r="J839" s="19" t="s">
        <v>13</v>
      </c>
      <c r="K839" s="32" t="s">
        <v>265</v>
      </c>
      <c r="L839" s="22"/>
      <c r="M839" s="22"/>
      <c r="N839" s="22"/>
      <c r="O839" s="22" t="s">
        <v>15</v>
      </c>
      <c r="P839" s="25" t="s">
        <v>1205</v>
      </c>
      <c r="Q839" s="16">
        <v>2958465</v>
      </c>
      <c r="R839" s="24"/>
    </row>
    <row r="840" spans="1:20">
      <c r="A840" s="11">
        <f t="shared" si="13"/>
        <v>839</v>
      </c>
      <c r="B840" s="11">
        <v>8020020748</v>
      </c>
      <c r="C840" s="25" t="s">
        <v>284</v>
      </c>
      <c r="D840" s="27">
        <v>21904</v>
      </c>
      <c r="E840" s="11">
        <v>0.56000000000000005</v>
      </c>
      <c r="F840" s="11" t="s">
        <v>11</v>
      </c>
      <c r="G840" s="44">
        <v>12266</v>
      </c>
      <c r="H840" s="28">
        <v>11050.450450450449</v>
      </c>
      <c r="I840" s="19" t="s">
        <v>12</v>
      </c>
      <c r="J840" s="19" t="s">
        <v>13</v>
      </c>
      <c r="K840" s="32" t="s">
        <v>265</v>
      </c>
      <c r="L840" s="22"/>
      <c r="M840" s="22"/>
      <c r="N840" s="22"/>
      <c r="O840" s="20" t="s">
        <v>15</v>
      </c>
      <c r="P840" s="25" t="s">
        <v>16</v>
      </c>
      <c r="Q840" s="16">
        <v>2958465</v>
      </c>
    </row>
    <row r="841" spans="1:20">
      <c r="A841" s="11">
        <f t="shared" si="13"/>
        <v>840</v>
      </c>
      <c r="B841" s="11">
        <v>8020020752</v>
      </c>
      <c r="C841" s="25" t="s">
        <v>285</v>
      </c>
      <c r="D841" s="27">
        <v>853</v>
      </c>
      <c r="E841" s="11">
        <v>0.56000000000000005</v>
      </c>
      <c r="F841" s="11" t="s">
        <v>11</v>
      </c>
      <c r="G841" s="44">
        <v>478</v>
      </c>
      <c r="H841" s="28">
        <v>430.63063063063061</v>
      </c>
      <c r="I841" s="19" t="s">
        <v>12</v>
      </c>
      <c r="J841" s="19" t="s">
        <v>13</v>
      </c>
      <c r="K841" s="32" t="s">
        <v>265</v>
      </c>
      <c r="L841" s="22"/>
      <c r="M841" s="22"/>
      <c r="N841" s="22"/>
      <c r="O841" s="20" t="s">
        <v>15</v>
      </c>
      <c r="P841" s="25" t="s">
        <v>16</v>
      </c>
      <c r="Q841" s="16">
        <v>2958465</v>
      </c>
    </row>
    <row r="842" spans="1:20">
      <c r="A842" s="11">
        <f t="shared" si="13"/>
        <v>841</v>
      </c>
      <c r="B842" s="11">
        <v>8020020755</v>
      </c>
      <c r="C842" s="25" t="s">
        <v>286</v>
      </c>
      <c r="D842" s="27">
        <v>1773</v>
      </c>
      <c r="E842" s="11">
        <v>0.56000000000000005</v>
      </c>
      <c r="F842" s="11" t="s">
        <v>11</v>
      </c>
      <c r="G842" s="44">
        <v>993</v>
      </c>
      <c r="H842" s="28">
        <v>894.59459459459447</v>
      </c>
      <c r="I842" s="19" t="s">
        <v>12</v>
      </c>
      <c r="J842" s="19" t="s">
        <v>13</v>
      </c>
      <c r="K842" s="32" t="s">
        <v>265</v>
      </c>
      <c r="L842" s="22"/>
      <c r="M842" s="22"/>
      <c r="N842" s="22"/>
      <c r="O842" s="20" t="s">
        <v>15</v>
      </c>
      <c r="P842" s="25" t="s">
        <v>16</v>
      </c>
      <c r="Q842" s="16">
        <v>2958465</v>
      </c>
    </row>
    <row r="843" spans="1:20">
      <c r="A843" s="11">
        <f t="shared" si="13"/>
        <v>842</v>
      </c>
      <c r="B843" s="11">
        <v>8020020756</v>
      </c>
      <c r="C843" s="25" t="s">
        <v>287</v>
      </c>
      <c r="D843" s="27">
        <v>4585</v>
      </c>
      <c r="E843" s="11">
        <v>0.56000000000000005</v>
      </c>
      <c r="F843" s="11" t="s">
        <v>11</v>
      </c>
      <c r="G843" s="44">
        <v>2568</v>
      </c>
      <c r="H843" s="28">
        <v>2313.5135135135133</v>
      </c>
      <c r="I843" s="19" t="s">
        <v>12</v>
      </c>
      <c r="J843" s="19" t="s">
        <v>13</v>
      </c>
      <c r="K843" s="32" t="s">
        <v>265</v>
      </c>
      <c r="L843" s="22"/>
      <c r="M843" s="22"/>
      <c r="N843" s="22"/>
      <c r="O843" s="20" t="s">
        <v>15</v>
      </c>
      <c r="P843" s="25" t="s">
        <v>16</v>
      </c>
      <c r="Q843" s="16">
        <v>2958465</v>
      </c>
    </row>
    <row r="844" spans="1:20">
      <c r="A844" s="11">
        <f t="shared" si="13"/>
        <v>843</v>
      </c>
      <c r="B844" s="11">
        <v>8020020757</v>
      </c>
      <c r="C844" s="25" t="s">
        <v>288</v>
      </c>
      <c r="D844" s="27">
        <v>10558</v>
      </c>
      <c r="E844" s="11">
        <v>0.56000000000000005</v>
      </c>
      <c r="F844" s="11" t="s">
        <v>11</v>
      </c>
      <c r="G844" s="44">
        <v>5912</v>
      </c>
      <c r="H844" s="28">
        <v>5326.1261261261261</v>
      </c>
      <c r="I844" s="19" t="s">
        <v>12</v>
      </c>
      <c r="J844" s="19" t="s">
        <v>13</v>
      </c>
      <c r="K844" s="32" t="s">
        <v>265</v>
      </c>
      <c r="L844" s="22"/>
      <c r="M844" s="22"/>
      <c r="N844" s="22"/>
      <c r="O844" s="20" t="s">
        <v>15</v>
      </c>
      <c r="P844" s="25" t="s">
        <v>16</v>
      </c>
      <c r="Q844" s="16">
        <v>2958465</v>
      </c>
    </row>
    <row r="845" spans="1:20">
      <c r="A845" s="11">
        <f t="shared" si="13"/>
        <v>844</v>
      </c>
      <c r="B845" s="34">
        <v>8020020875</v>
      </c>
      <c r="C845" s="52" t="s">
        <v>1444</v>
      </c>
      <c r="D845" s="34"/>
      <c r="E845" s="34"/>
      <c r="F845" s="34" t="s">
        <v>11</v>
      </c>
      <c r="G845" s="45">
        <v>0</v>
      </c>
      <c r="H845" s="34">
        <v>0</v>
      </c>
      <c r="I845" s="34"/>
      <c r="J845" s="34"/>
      <c r="K845" s="38"/>
      <c r="L845" s="34"/>
      <c r="M845" s="34"/>
      <c r="N845" s="34"/>
      <c r="O845" s="34"/>
      <c r="P845" s="34"/>
      <c r="Q845" s="16">
        <v>2958465</v>
      </c>
      <c r="R845" s="36"/>
      <c r="S845" s="36"/>
      <c r="T845" s="36"/>
    </row>
    <row r="846" spans="1:20">
      <c r="A846" s="11">
        <f t="shared" si="13"/>
        <v>845</v>
      </c>
      <c r="B846" s="11">
        <v>8020021425</v>
      </c>
      <c r="C846" s="25" t="s">
        <v>301</v>
      </c>
      <c r="D846" s="27">
        <v>1347</v>
      </c>
      <c r="E846" s="11">
        <v>0.56000000000000005</v>
      </c>
      <c r="F846" s="11" t="s">
        <v>11</v>
      </c>
      <c r="G846" s="44">
        <v>754</v>
      </c>
      <c r="H846" s="28">
        <v>679.27927927927919</v>
      </c>
      <c r="I846" s="19" t="s">
        <v>12</v>
      </c>
      <c r="J846" s="19" t="s">
        <v>13</v>
      </c>
      <c r="K846" s="32" t="s">
        <v>265</v>
      </c>
      <c r="L846" s="22"/>
      <c r="M846" s="22"/>
      <c r="N846" s="22"/>
      <c r="O846" s="20" t="s">
        <v>15</v>
      </c>
      <c r="P846" s="25" t="s">
        <v>16</v>
      </c>
      <c r="Q846" s="16">
        <v>2958465</v>
      </c>
    </row>
    <row r="847" spans="1:20">
      <c r="A847" s="11">
        <f t="shared" si="13"/>
        <v>846</v>
      </c>
      <c r="B847" s="11">
        <v>8020021440</v>
      </c>
      <c r="C847" s="25" t="s">
        <v>302</v>
      </c>
      <c r="D847" s="27">
        <v>5179</v>
      </c>
      <c r="E847" s="11">
        <v>0.56000000000000005</v>
      </c>
      <c r="F847" s="11" t="s">
        <v>11</v>
      </c>
      <c r="G847" s="44">
        <v>2900</v>
      </c>
      <c r="H847" s="28">
        <v>2612.6126126126123</v>
      </c>
      <c r="I847" s="19" t="s">
        <v>12</v>
      </c>
      <c r="J847" s="19" t="s">
        <v>13</v>
      </c>
      <c r="K847" s="32" t="s">
        <v>265</v>
      </c>
      <c r="L847" s="22"/>
      <c r="M847" s="22"/>
      <c r="N847" s="22"/>
      <c r="O847" s="20" t="s">
        <v>15</v>
      </c>
      <c r="P847" s="25" t="s">
        <v>16</v>
      </c>
      <c r="Q847" s="16">
        <v>2958465</v>
      </c>
    </row>
    <row r="848" spans="1:20">
      <c r="A848" s="11">
        <f t="shared" si="13"/>
        <v>847</v>
      </c>
      <c r="B848" s="11">
        <v>8020021489</v>
      </c>
      <c r="C848" s="25" t="s">
        <v>303</v>
      </c>
      <c r="D848" s="27">
        <v>73622</v>
      </c>
      <c r="E848" s="11">
        <v>0.56000000000000005</v>
      </c>
      <c r="F848" s="11" t="s">
        <v>11</v>
      </c>
      <c r="G848" s="44">
        <v>41228</v>
      </c>
      <c r="H848" s="28">
        <v>37142.342342342337</v>
      </c>
      <c r="I848" s="19" t="s">
        <v>12</v>
      </c>
      <c r="J848" s="19" t="s">
        <v>13</v>
      </c>
      <c r="K848" s="32" t="s">
        <v>265</v>
      </c>
      <c r="L848" s="22"/>
      <c r="M848" s="22"/>
      <c r="N848" s="22"/>
      <c r="O848" s="20" t="s">
        <v>15</v>
      </c>
      <c r="P848" s="25" t="s">
        <v>16</v>
      </c>
      <c r="Q848" s="16">
        <v>2958465</v>
      </c>
    </row>
    <row r="849" spans="1:20">
      <c r="A849" s="11">
        <f t="shared" si="13"/>
        <v>848</v>
      </c>
      <c r="B849" s="11">
        <v>8020021938</v>
      </c>
      <c r="C849" s="25" t="s">
        <v>1198</v>
      </c>
      <c r="D849" s="27">
        <v>7200</v>
      </c>
      <c r="E849" s="11">
        <v>0.56000000000000005</v>
      </c>
      <c r="F849" s="11" t="s">
        <v>11</v>
      </c>
      <c r="G849" s="44">
        <v>4032</v>
      </c>
      <c r="H849" s="28">
        <v>3632.4324324324321</v>
      </c>
      <c r="I849" s="19" t="s">
        <v>12</v>
      </c>
      <c r="J849" s="19" t="s">
        <v>13</v>
      </c>
      <c r="K849" s="32" t="s">
        <v>265</v>
      </c>
      <c r="L849" s="22"/>
      <c r="M849" s="22"/>
      <c r="N849" s="22"/>
      <c r="O849" s="20" t="s">
        <v>15</v>
      </c>
      <c r="P849" s="25" t="s">
        <v>1197</v>
      </c>
      <c r="Q849" s="16">
        <v>2958465</v>
      </c>
      <c r="R849" s="23"/>
      <c r="T849" s="23"/>
    </row>
    <row r="850" spans="1:20">
      <c r="A850" s="11">
        <f t="shared" si="13"/>
        <v>849</v>
      </c>
      <c r="B850" s="11">
        <v>8020021939</v>
      </c>
      <c r="C850" s="25" t="s">
        <v>1199</v>
      </c>
      <c r="D850" s="27">
        <v>5809</v>
      </c>
      <c r="E850" s="11">
        <v>0.56000000000000005</v>
      </c>
      <c r="F850" s="11" t="s">
        <v>11</v>
      </c>
      <c r="G850" s="44">
        <v>3253</v>
      </c>
      <c r="H850" s="28">
        <v>2930.6306306306305</v>
      </c>
      <c r="I850" s="19" t="s">
        <v>12</v>
      </c>
      <c r="J850" s="19" t="s">
        <v>13</v>
      </c>
      <c r="K850" s="32" t="s">
        <v>265</v>
      </c>
      <c r="L850" s="22"/>
      <c r="M850" s="22"/>
      <c r="N850" s="22"/>
      <c r="O850" s="20" t="s">
        <v>15</v>
      </c>
      <c r="P850" s="25" t="s">
        <v>1197</v>
      </c>
      <c r="Q850" s="16">
        <v>2958465</v>
      </c>
      <c r="R850" s="23"/>
      <c r="T850" s="23"/>
    </row>
    <row r="851" spans="1:20">
      <c r="A851" s="11">
        <f t="shared" si="13"/>
        <v>850</v>
      </c>
      <c r="B851" s="11">
        <v>8020022039</v>
      </c>
      <c r="C851" s="25" t="s">
        <v>304</v>
      </c>
      <c r="D851" s="27">
        <v>15648</v>
      </c>
      <c r="E851" s="11">
        <v>0.56000000000000005</v>
      </c>
      <c r="F851" s="11" t="s">
        <v>11</v>
      </c>
      <c r="G851" s="44">
        <v>8763</v>
      </c>
      <c r="H851" s="28">
        <v>7894.5945945945941</v>
      </c>
      <c r="I851" s="19" t="s">
        <v>12</v>
      </c>
      <c r="J851" s="19" t="s">
        <v>13</v>
      </c>
      <c r="K851" s="32" t="s">
        <v>265</v>
      </c>
      <c r="L851" s="22"/>
      <c r="M851" s="22"/>
      <c r="N851" s="22"/>
      <c r="O851" s="20" t="s">
        <v>15</v>
      </c>
      <c r="P851" s="25" t="s">
        <v>16</v>
      </c>
      <c r="Q851" s="16">
        <v>2958465</v>
      </c>
    </row>
    <row r="852" spans="1:20">
      <c r="A852" s="11">
        <f t="shared" si="13"/>
        <v>851</v>
      </c>
      <c r="B852" s="11">
        <v>8020022121</v>
      </c>
      <c r="C852" s="25" t="s">
        <v>305</v>
      </c>
      <c r="D852" s="27">
        <v>2542</v>
      </c>
      <c r="E852" s="11">
        <v>0.56000000000000005</v>
      </c>
      <c r="F852" s="11" t="s">
        <v>11</v>
      </c>
      <c r="G852" s="44">
        <v>1424</v>
      </c>
      <c r="H852" s="28">
        <v>1282.8828828828828</v>
      </c>
      <c r="I852" s="19" t="s">
        <v>12</v>
      </c>
      <c r="J852" s="19" t="s">
        <v>13</v>
      </c>
      <c r="K852" s="32" t="s">
        <v>265</v>
      </c>
      <c r="L852" s="22"/>
      <c r="M852" s="22"/>
      <c r="N852" s="22"/>
      <c r="O852" s="20" t="s">
        <v>15</v>
      </c>
      <c r="P852" s="25" t="s">
        <v>16</v>
      </c>
      <c r="Q852" s="16">
        <v>2958465</v>
      </c>
    </row>
    <row r="853" spans="1:20">
      <c r="A853" s="11">
        <f t="shared" si="13"/>
        <v>852</v>
      </c>
      <c r="B853" s="11">
        <v>8020022124</v>
      </c>
      <c r="C853" s="25" t="s">
        <v>306</v>
      </c>
      <c r="D853" s="27">
        <v>4064</v>
      </c>
      <c r="E853" s="11">
        <v>0.56000000000000005</v>
      </c>
      <c r="F853" s="11" t="s">
        <v>11</v>
      </c>
      <c r="G853" s="44">
        <v>2276</v>
      </c>
      <c r="H853" s="28">
        <v>2050.4504504504503</v>
      </c>
      <c r="I853" s="19" t="s">
        <v>12</v>
      </c>
      <c r="J853" s="19" t="s">
        <v>13</v>
      </c>
      <c r="K853" s="32" t="s">
        <v>265</v>
      </c>
      <c r="L853" s="22"/>
      <c r="M853" s="22"/>
      <c r="N853" s="22"/>
      <c r="O853" s="20" t="s">
        <v>15</v>
      </c>
      <c r="P853" s="25" t="s">
        <v>16</v>
      </c>
      <c r="Q853" s="16">
        <v>2958465</v>
      </c>
    </row>
    <row r="854" spans="1:20">
      <c r="A854" s="11">
        <f t="shared" si="13"/>
        <v>853</v>
      </c>
      <c r="B854" s="11">
        <v>8020022601</v>
      </c>
      <c r="C854" s="25" t="s">
        <v>1200</v>
      </c>
      <c r="D854" s="27">
        <v>5155</v>
      </c>
      <c r="E854" s="11">
        <v>0.56000000000000005</v>
      </c>
      <c r="F854" s="11" t="s">
        <v>11</v>
      </c>
      <c r="G854" s="44">
        <v>2887</v>
      </c>
      <c r="H854" s="28">
        <v>2600.9009009009005</v>
      </c>
      <c r="I854" s="19" t="s">
        <v>12</v>
      </c>
      <c r="J854" s="19" t="s">
        <v>13</v>
      </c>
      <c r="K854" s="32" t="s">
        <v>265</v>
      </c>
      <c r="L854" s="22"/>
      <c r="M854" s="22"/>
      <c r="N854" s="22"/>
      <c r="O854" s="20" t="s">
        <v>15</v>
      </c>
      <c r="P854" s="25" t="s">
        <v>1197</v>
      </c>
      <c r="Q854" s="16">
        <v>2958465</v>
      </c>
      <c r="R854" s="23"/>
      <c r="T854" s="23"/>
    </row>
    <row r="855" spans="1:20">
      <c r="A855" s="11">
        <f t="shared" si="13"/>
        <v>854</v>
      </c>
      <c r="B855" s="11">
        <v>8020022618</v>
      </c>
      <c r="C855" s="25" t="s">
        <v>81</v>
      </c>
      <c r="D855" s="27">
        <v>9739</v>
      </c>
      <c r="E855" s="11">
        <v>0.56000000000000005</v>
      </c>
      <c r="F855" s="11" t="s">
        <v>11</v>
      </c>
      <c r="G855" s="44">
        <v>5454</v>
      </c>
      <c r="H855" s="28">
        <v>4913.5135135135133</v>
      </c>
      <c r="I855" s="19" t="s">
        <v>12</v>
      </c>
      <c r="J855" s="19" t="s">
        <v>13</v>
      </c>
      <c r="K855" s="32" t="s">
        <v>14</v>
      </c>
      <c r="L855" s="22"/>
      <c r="M855" s="22"/>
      <c r="N855" s="22"/>
      <c r="O855" s="20" t="s">
        <v>15</v>
      </c>
      <c r="P855" s="25" t="s">
        <v>16</v>
      </c>
      <c r="Q855" s="16">
        <v>2958465</v>
      </c>
    </row>
    <row r="856" spans="1:20">
      <c r="A856" s="11">
        <f t="shared" si="13"/>
        <v>855</v>
      </c>
      <c r="B856" s="11">
        <v>8020022619</v>
      </c>
      <c r="C856" s="25" t="s">
        <v>82</v>
      </c>
      <c r="D856" s="27">
        <v>11130</v>
      </c>
      <c r="E856" s="11">
        <v>0.56000000000000005</v>
      </c>
      <c r="F856" s="11" t="s">
        <v>11</v>
      </c>
      <c r="G856" s="44">
        <v>6233</v>
      </c>
      <c r="H856" s="28">
        <v>5615.3153153153153</v>
      </c>
      <c r="I856" s="19" t="s">
        <v>12</v>
      </c>
      <c r="J856" s="19" t="s">
        <v>13</v>
      </c>
      <c r="K856" s="32" t="s">
        <v>14</v>
      </c>
      <c r="L856" s="22"/>
      <c r="M856" s="22"/>
      <c r="N856" s="22"/>
      <c r="O856" s="20" t="s">
        <v>15</v>
      </c>
      <c r="P856" s="25" t="s">
        <v>16</v>
      </c>
      <c r="Q856" s="16">
        <v>2958465</v>
      </c>
    </row>
    <row r="857" spans="1:20">
      <c r="A857" s="11">
        <f t="shared" si="13"/>
        <v>856</v>
      </c>
      <c r="B857" s="11">
        <v>8020022620</v>
      </c>
      <c r="C857" s="25" t="s">
        <v>83</v>
      </c>
      <c r="D857" s="27">
        <v>3876</v>
      </c>
      <c r="E857" s="11">
        <v>0.56000000000000005</v>
      </c>
      <c r="F857" s="11" t="s">
        <v>11</v>
      </c>
      <c r="G857" s="44">
        <v>2171</v>
      </c>
      <c r="H857" s="28">
        <v>1955.8558558558557</v>
      </c>
      <c r="I857" s="19" t="s">
        <v>12</v>
      </c>
      <c r="J857" s="19" t="s">
        <v>13</v>
      </c>
      <c r="K857" s="32" t="s">
        <v>14</v>
      </c>
      <c r="L857" s="22"/>
      <c r="M857" s="22"/>
      <c r="N857" s="22"/>
      <c r="O857" s="20" t="s">
        <v>15</v>
      </c>
      <c r="P857" s="25" t="s">
        <v>16</v>
      </c>
      <c r="Q857" s="16">
        <v>2958465</v>
      </c>
    </row>
    <row r="858" spans="1:20">
      <c r="A858" s="11">
        <f t="shared" si="13"/>
        <v>857</v>
      </c>
      <c r="B858" s="11">
        <v>8020022621</v>
      </c>
      <c r="C858" s="25" t="s">
        <v>84</v>
      </c>
      <c r="D858" s="27">
        <v>5214</v>
      </c>
      <c r="E858" s="11">
        <v>0.56000000000000005</v>
      </c>
      <c r="F858" s="11" t="s">
        <v>11</v>
      </c>
      <c r="G858" s="44">
        <v>2920</v>
      </c>
      <c r="H858" s="28">
        <v>2630.6306306306305</v>
      </c>
      <c r="I858" s="19" t="s">
        <v>12</v>
      </c>
      <c r="J858" s="19" t="s">
        <v>13</v>
      </c>
      <c r="K858" s="32" t="s">
        <v>14</v>
      </c>
      <c r="L858" s="22"/>
      <c r="M858" s="22"/>
      <c r="N858" s="22"/>
      <c r="O858" s="20" t="s">
        <v>15</v>
      </c>
      <c r="P858" s="25" t="s">
        <v>16</v>
      </c>
      <c r="Q858" s="16">
        <v>2958465</v>
      </c>
    </row>
    <row r="859" spans="1:20">
      <c r="A859" s="11">
        <f t="shared" si="13"/>
        <v>858</v>
      </c>
      <c r="B859" s="11">
        <v>8020022622</v>
      </c>
      <c r="C859" s="25" t="s">
        <v>85</v>
      </c>
      <c r="D859" s="27">
        <v>7181</v>
      </c>
      <c r="E859" s="11">
        <v>0.56000000000000005</v>
      </c>
      <c r="F859" s="11" t="s">
        <v>11</v>
      </c>
      <c r="G859" s="44">
        <v>4021</v>
      </c>
      <c r="H859" s="28">
        <v>3622.5225225225222</v>
      </c>
      <c r="I859" s="19" t="s">
        <v>12</v>
      </c>
      <c r="J859" s="19" t="s">
        <v>13</v>
      </c>
      <c r="K859" s="32" t="s">
        <v>14</v>
      </c>
      <c r="L859" s="22"/>
      <c r="M859" s="22"/>
      <c r="N859" s="22"/>
      <c r="O859" s="20" t="s">
        <v>15</v>
      </c>
      <c r="P859" s="25" t="s">
        <v>16</v>
      </c>
      <c r="Q859" s="16">
        <v>2958465</v>
      </c>
    </row>
    <row r="860" spans="1:20">
      <c r="A860" s="11">
        <f t="shared" si="13"/>
        <v>859</v>
      </c>
      <c r="B860" s="11">
        <v>8020022623</v>
      </c>
      <c r="C860" s="25" t="s">
        <v>86</v>
      </c>
      <c r="D860" s="27">
        <v>11214</v>
      </c>
      <c r="E860" s="11">
        <v>0.56000000000000005</v>
      </c>
      <c r="F860" s="11" t="s">
        <v>11</v>
      </c>
      <c r="G860" s="44">
        <v>6280</v>
      </c>
      <c r="H860" s="28">
        <v>5657.6576576576572</v>
      </c>
      <c r="I860" s="19" t="s">
        <v>12</v>
      </c>
      <c r="J860" s="19" t="s">
        <v>13</v>
      </c>
      <c r="K860" s="32" t="s">
        <v>14</v>
      </c>
      <c r="L860" s="22"/>
      <c r="M860" s="22"/>
      <c r="N860" s="22"/>
      <c r="O860" s="20" t="s">
        <v>15</v>
      </c>
      <c r="P860" s="25" t="s">
        <v>16</v>
      </c>
      <c r="Q860" s="16">
        <v>2958465</v>
      </c>
    </row>
    <row r="861" spans="1:20">
      <c r="A861" s="11">
        <f t="shared" si="13"/>
        <v>860</v>
      </c>
      <c r="B861" s="11">
        <v>8020022624</v>
      </c>
      <c r="C861" s="25" t="s">
        <v>23</v>
      </c>
      <c r="D861" s="27">
        <v>6459</v>
      </c>
      <c r="E861" s="11">
        <v>0.56000000000000005</v>
      </c>
      <c r="F861" s="11" t="s">
        <v>11</v>
      </c>
      <c r="G861" s="44">
        <v>3617</v>
      </c>
      <c r="H861" s="28">
        <v>3258.5585585585582</v>
      </c>
      <c r="I861" s="19" t="s">
        <v>12</v>
      </c>
      <c r="J861" s="19" t="s">
        <v>13</v>
      </c>
      <c r="K861" s="32" t="s">
        <v>14</v>
      </c>
      <c r="L861" s="22"/>
      <c r="M861" s="22"/>
      <c r="N861" s="22"/>
      <c r="O861" s="20" t="s">
        <v>15</v>
      </c>
      <c r="P861" s="25" t="s">
        <v>16</v>
      </c>
      <c r="Q861" s="16">
        <v>2958465</v>
      </c>
    </row>
    <row r="862" spans="1:20">
      <c r="A862" s="11">
        <f t="shared" si="13"/>
        <v>861</v>
      </c>
      <c r="B862" s="11">
        <v>8020022628</v>
      </c>
      <c r="C862" s="25" t="s">
        <v>87</v>
      </c>
      <c r="D862" s="27">
        <v>16496</v>
      </c>
      <c r="E862" s="11">
        <v>0.56000000000000005</v>
      </c>
      <c r="F862" s="11" t="s">
        <v>11</v>
      </c>
      <c r="G862" s="44">
        <v>9238</v>
      </c>
      <c r="H862" s="28">
        <v>8322.5225225225222</v>
      </c>
      <c r="I862" s="19" t="s">
        <v>12</v>
      </c>
      <c r="J862" s="19" t="s">
        <v>13</v>
      </c>
      <c r="K862" s="32" t="s">
        <v>14</v>
      </c>
      <c r="L862" s="22"/>
      <c r="M862" s="22"/>
      <c r="N862" s="22"/>
      <c r="O862" s="20" t="s">
        <v>15</v>
      </c>
      <c r="P862" s="25" t="s">
        <v>16</v>
      </c>
      <c r="Q862" s="16">
        <v>2958465</v>
      </c>
    </row>
    <row r="863" spans="1:20">
      <c r="A863" s="11">
        <f t="shared" si="13"/>
        <v>862</v>
      </c>
      <c r="B863" s="11">
        <v>8020022629</v>
      </c>
      <c r="C863" s="25" t="s">
        <v>62</v>
      </c>
      <c r="D863" s="27">
        <v>7870</v>
      </c>
      <c r="E863" s="11">
        <v>0.56000000000000005</v>
      </c>
      <c r="F863" s="11" t="s">
        <v>11</v>
      </c>
      <c r="G863" s="44">
        <v>4407</v>
      </c>
      <c r="H863" s="28">
        <v>3970.27027027027</v>
      </c>
      <c r="I863" s="19" t="s">
        <v>12</v>
      </c>
      <c r="J863" s="19" t="s">
        <v>13</v>
      </c>
      <c r="K863" s="32" t="s">
        <v>14</v>
      </c>
      <c r="L863" s="22"/>
      <c r="M863" s="22"/>
      <c r="N863" s="22"/>
      <c r="O863" s="20" t="s">
        <v>15</v>
      </c>
      <c r="P863" s="25" t="s">
        <v>16</v>
      </c>
      <c r="Q863" s="16">
        <v>2958465</v>
      </c>
    </row>
    <row r="864" spans="1:20">
      <c r="A864" s="11">
        <f t="shared" si="13"/>
        <v>863</v>
      </c>
      <c r="B864" s="11">
        <v>8020022630</v>
      </c>
      <c r="C864" s="25" t="s">
        <v>66</v>
      </c>
      <c r="D864" s="27">
        <v>32595</v>
      </c>
      <c r="E864" s="11">
        <v>0.56000000000000005</v>
      </c>
      <c r="F864" s="11" t="s">
        <v>11</v>
      </c>
      <c r="G864" s="44">
        <v>18253</v>
      </c>
      <c r="H864" s="28">
        <v>16444.144144144142</v>
      </c>
      <c r="I864" s="19" t="s">
        <v>12</v>
      </c>
      <c r="J864" s="19" t="s">
        <v>13</v>
      </c>
      <c r="K864" s="32" t="s">
        <v>14</v>
      </c>
      <c r="L864" s="22"/>
      <c r="M864" s="22"/>
      <c r="N864" s="22"/>
      <c r="O864" s="20" t="s">
        <v>15</v>
      </c>
      <c r="P864" s="25" t="s">
        <v>16</v>
      </c>
      <c r="Q864" s="16">
        <v>2958465</v>
      </c>
    </row>
    <row r="865" spans="1:17">
      <c r="A865" s="11">
        <f t="shared" si="13"/>
        <v>864</v>
      </c>
      <c r="B865" s="11">
        <v>8020022631</v>
      </c>
      <c r="C865" s="25" t="s">
        <v>63</v>
      </c>
      <c r="D865" s="27">
        <v>19182</v>
      </c>
      <c r="E865" s="11">
        <v>0.56000000000000005</v>
      </c>
      <c r="F865" s="11" t="s">
        <v>11</v>
      </c>
      <c r="G865" s="44">
        <v>10742</v>
      </c>
      <c r="H865" s="28">
        <v>9677.477477477476</v>
      </c>
      <c r="I865" s="19" t="s">
        <v>12</v>
      </c>
      <c r="J865" s="19" t="s">
        <v>13</v>
      </c>
      <c r="K865" s="32" t="s">
        <v>14</v>
      </c>
      <c r="L865" s="22"/>
      <c r="M865" s="22"/>
      <c r="N865" s="22"/>
      <c r="O865" s="20" t="s">
        <v>15</v>
      </c>
      <c r="P865" s="25" t="s">
        <v>16</v>
      </c>
      <c r="Q865" s="16">
        <v>2958465</v>
      </c>
    </row>
    <row r="866" spans="1:17">
      <c r="A866" s="11">
        <f t="shared" si="13"/>
        <v>865</v>
      </c>
      <c r="B866" s="11">
        <v>8020022632</v>
      </c>
      <c r="C866" s="25" t="s">
        <v>64</v>
      </c>
      <c r="D866" s="27">
        <v>28429</v>
      </c>
      <c r="E866" s="11">
        <v>0.56000000000000005</v>
      </c>
      <c r="F866" s="11" t="s">
        <v>11</v>
      </c>
      <c r="G866" s="44">
        <v>15920</v>
      </c>
      <c r="H866" s="28">
        <v>14342.342342342341</v>
      </c>
      <c r="I866" s="19" t="s">
        <v>12</v>
      </c>
      <c r="J866" s="19" t="s">
        <v>13</v>
      </c>
      <c r="K866" s="32" t="s">
        <v>14</v>
      </c>
      <c r="L866" s="22"/>
      <c r="M866" s="22"/>
      <c r="N866" s="22"/>
      <c r="O866" s="20" t="s">
        <v>15</v>
      </c>
      <c r="P866" s="25" t="s">
        <v>16</v>
      </c>
      <c r="Q866" s="16">
        <v>2958465</v>
      </c>
    </row>
    <row r="867" spans="1:17">
      <c r="A867" s="11">
        <f t="shared" si="13"/>
        <v>866</v>
      </c>
      <c r="B867" s="11">
        <v>8020022636</v>
      </c>
      <c r="C867" s="25" t="s">
        <v>88</v>
      </c>
      <c r="D867" s="27">
        <v>191231</v>
      </c>
      <c r="E867" s="11">
        <v>0.56000000000000005</v>
      </c>
      <c r="F867" s="11" t="s">
        <v>11</v>
      </c>
      <c r="G867" s="44">
        <v>107089</v>
      </c>
      <c r="H867" s="28">
        <v>96476.576576576568</v>
      </c>
      <c r="I867" s="19" t="s">
        <v>12</v>
      </c>
      <c r="J867" s="19" t="s">
        <v>13</v>
      </c>
      <c r="K867" s="32" t="s">
        <v>14</v>
      </c>
      <c r="L867" s="22"/>
      <c r="M867" s="22"/>
      <c r="N867" s="22"/>
      <c r="O867" s="20" t="s">
        <v>15</v>
      </c>
      <c r="P867" s="25" t="s">
        <v>16</v>
      </c>
      <c r="Q867" s="16">
        <v>2958465</v>
      </c>
    </row>
    <row r="868" spans="1:17">
      <c r="A868" s="11">
        <f t="shared" si="13"/>
        <v>867</v>
      </c>
      <c r="B868" s="11">
        <v>8020022637</v>
      </c>
      <c r="C868" s="25" t="s">
        <v>89</v>
      </c>
      <c r="D868" s="27">
        <v>153850</v>
      </c>
      <c r="E868" s="11">
        <v>0.56000000000000005</v>
      </c>
      <c r="F868" s="11" t="s">
        <v>11</v>
      </c>
      <c r="G868" s="44">
        <v>86156</v>
      </c>
      <c r="H868" s="28">
        <v>77618.018018018018</v>
      </c>
      <c r="I868" s="19" t="s">
        <v>12</v>
      </c>
      <c r="J868" s="19" t="s">
        <v>13</v>
      </c>
      <c r="K868" s="32" t="s">
        <v>14</v>
      </c>
      <c r="L868" s="22"/>
      <c r="M868" s="22"/>
      <c r="N868" s="22"/>
      <c r="O868" s="20" t="s">
        <v>15</v>
      </c>
      <c r="P868" s="25" t="s">
        <v>16</v>
      </c>
      <c r="Q868" s="16">
        <v>2958465</v>
      </c>
    </row>
    <row r="869" spans="1:17">
      <c r="A869" s="11">
        <f t="shared" si="13"/>
        <v>868</v>
      </c>
      <c r="B869" s="11">
        <v>8020022638</v>
      </c>
      <c r="C869" s="25" t="s">
        <v>90</v>
      </c>
      <c r="D869" s="27">
        <v>127684</v>
      </c>
      <c r="E869" s="11">
        <v>0.56000000000000005</v>
      </c>
      <c r="F869" s="11" t="s">
        <v>11</v>
      </c>
      <c r="G869" s="44">
        <v>71503</v>
      </c>
      <c r="H869" s="28">
        <v>64417.117117117108</v>
      </c>
      <c r="I869" s="19" t="s">
        <v>12</v>
      </c>
      <c r="J869" s="19" t="s">
        <v>13</v>
      </c>
      <c r="K869" s="32" t="s">
        <v>14</v>
      </c>
      <c r="L869" s="22"/>
      <c r="M869" s="22"/>
      <c r="N869" s="22"/>
      <c r="O869" s="20" t="s">
        <v>15</v>
      </c>
      <c r="P869" s="25" t="s">
        <v>16</v>
      </c>
      <c r="Q869" s="16">
        <v>2958465</v>
      </c>
    </row>
    <row r="870" spans="1:17">
      <c r="A870" s="11">
        <f t="shared" si="13"/>
        <v>869</v>
      </c>
      <c r="B870" s="11">
        <v>8020022639</v>
      </c>
      <c r="C870" s="25" t="s">
        <v>67</v>
      </c>
      <c r="D870" s="27">
        <v>2286</v>
      </c>
      <c r="E870" s="11">
        <v>0.56000000000000005</v>
      </c>
      <c r="F870" s="11" t="s">
        <v>11</v>
      </c>
      <c r="G870" s="44">
        <v>1280</v>
      </c>
      <c r="H870" s="28">
        <v>1153.153153153153</v>
      </c>
      <c r="I870" s="19" t="s">
        <v>12</v>
      </c>
      <c r="J870" s="19" t="s">
        <v>13</v>
      </c>
      <c r="K870" s="32" t="s">
        <v>14</v>
      </c>
      <c r="L870" s="22"/>
      <c r="M870" s="22"/>
      <c r="N870" s="22"/>
      <c r="O870" s="20" t="s">
        <v>15</v>
      </c>
      <c r="P870" s="25" t="s">
        <v>16</v>
      </c>
      <c r="Q870" s="16">
        <v>2958465</v>
      </c>
    </row>
    <row r="871" spans="1:17">
      <c r="A871" s="11">
        <f t="shared" si="13"/>
        <v>870</v>
      </c>
      <c r="B871" s="11">
        <v>8020022648</v>
      </c>
      <c r="C871" s="25" t="s">
        <v>91</v>
      </c>
      <c r="D871" s="27">
        <v>8853</v>
      </c>
      <c r="E871" s="11">
        <v>0.56000000000000005</v>
      </c>
      <c r="F871" s="11" t="s">
        <v>11</v>
      </c>
      <c r="G871" s="44">
        <v>4958</v>
      </c>
      <c r="H871" s="28">
        <v>4466.6666666666661</v>
      </c>
      <c r="I871" s="19" t="s">
        <v>12</v>
      </c>
      <c r="J871" s="19" t="s">
        <v>13</v>
      </c>
      <c r="K871" s="32" t="s">
        <v>14</v>
      </c>
      <c r="L871" s="22"/>
      <c r="M871" s="22"/>
      <c r="N871" s="22"/>
      <c r="O871" s="20" t="s">
        <v>15</v>
      </c>
      <c r="P871" s="25" t="s">
        <v>16</v>
      </c>
      <c r="Q871" s="16">
        <v>2958465</v>
      </c>
    </row>
    <row r="872" spans="1:17">
      <c r="A872" s="11">
        <f t="shared" si="13"/>
        <v>871</v>
      </c>
      <c r="B872" s="11">
        <v>8020022649</v>
      </c>
      <c r="C872" s="25" t="s">
        <v>92</v>
      </c>
      <c r="D872" s="27">
        <v>11214</v>
      </c>
      <c r="E872" s="11">
        <v>0.56000000000000005</v>
      </c>
      <c r="F872" s="11" t="s">
        <v>11</v>
      </c>
      <c r="G872" s="44">
        <v>6280</v>
      </c>
      <c r="H872" s="28">
        <v>5657.6576576576572</v>
      </c>
      <c r="I872" s="19" t="s">
        <v>12</v>
      </c>
      <c r="J872" s="19" t="s">
        <v>13</v>
      </c>
      <c r="K872" s="32" t="s">
        <v>14</v>
      </c>
      <c r="L872" s="22"/>
      <c r="M872" s="22"/>
      <c r="N872" s="22"/>
      <c r="O872" s="20" t="s">
        <v>15</v>
      </c>
      <c r="P872" s="25" t="s">
        <v>16</v>
      </c>
      <c r="Q872" s="16">
        <v>2958465</v>
      </c>
    </row>
    <row r="873" spans="1:17">
      <c r="A873" s="11">
        <f t="shared" si="13"/>
        <v>872</v>
      </c>
      <c r="B873" s="12">
        <v>8020022650</v>
      </c>
      <c r="C873" s="30" t="s">
        <v>1291</v>
      </c>
      <c r="D873" s="30"/>
      <c r="E873" s="30"/>
      <c r="F873" s="30"/>
      <c r="G873" s="43">
        <v>7805</v>
      </c>
      <c r="H873" s="31">
        <v>7031.5315315315311</v>
      </c>
      <c r="I873" s="13" t="s">
        <v>12</v>
      </c>
      <c r="J873" s="13" t="s">
        <v>13</v>
      </c>
      <c r="K873" s="14" t="s">
        <v>1265</v>
      </c>
      <c r="L873" s="12" t="s">
        <v>1266</v>
      </c>
      <c r="M873" s="12" t="s">
        <v>11</v>
      </c>
      <c r="N873" s="15" t="s">
        <v>1267</v>
      </c>
      <c r="O873" s="15" t="s">
        <v>15</v>
      </c>
      <c r="P873" s="12" t="s">
        <v>16</v>
      </c>
      <c r="Q873" s="16">
        <v>2958465</v>
      </c>
    </row>
    <row r="874" spans="1:17">
      <c r="A874" s="11">
        <f t="shared" si="13"/>
        <v>873</v>
      </c>
      <c r="B874" s="11">
        <v>8020022651</v>
      </c>
      <c r="C874" s="25" t="s">
        <v>93</v>
      </c>
      <c r="D874" s="27">
        <v>4472</v>
      </c>
      <c r="E874" s="11">
        <v>0.56000000000000005</v>
      </c>
      <c r="F874" s="11" t="s">
        <v>11</v>
      </c>
      <c r="G874" s="44">
        <v>2504</v>
      </c>
      <c r="H874" s="28">
        <v>2255.8558558558557</v>
      </c>
      <c r="I874" s="19" t="s">
        <v>12</v>
      </c>
      <c r="J874" s="19" t="s">
        <v>13</v>
      </c>
      <c r="K874" s="32" t="s">
        <v>14</v>
      </c>
      <c r="L874" s="22"/>
      <c r="M874" s="22"/>
      <c r="N874" s="22"/>
      <c r="O874" s="20" t="s">
        <v>15</v>
      </c>
      <c r="P874" s="25" t="s">
        <v>16</v>
      </c>
      <c r="Q874" s="16">
        <v>2958465</v>
      </c>
    </row>
    <row r="875" spans="1:17">
      <c r="A875" s="11">
        <f t="shared" si="13"/>
        <v>874</v>
      </c>
      <c r="B875" s="11">
        <v>8020022652</v>
      </c>
      <c r="C875" s="25" t="s">
        <v>94</v>
      </c>
      <c r="D875" s="27">
        <v>6197</v>
      </c>
      <c r="E875" s="11">
        <v>0.56000000000000005</v>
      </c>
      <c r="F875" s="11" t="s">
        <v>11</v>
      </c>
      <c r="G875" s="44">
        <v>3470</v>
      </c>
      <c r="H875" s="28">
        <v>3126.1261261261257</v>
      </c>
      <c r="I875" s="19" t="s">
        <v>12</v>
      </c>
      <c r="J875" s="19" t="s">
        <v>13</v>
      </c>
      <c r="K875" s="32" t="s">
        <v>14</v>
      </c>
      <c r="L875" s="22"/>
      <c r="M875" s="22"/>
      <c r="N875" s="22"/>
      <c r="O875" s="20" t="s">
        <v>15</v>
      </c>
      <c r="P875" s="25" t="s">
        <v>16</v>
      </c>
      <c r="Q875" s="16">
        <v>2958465</v>
      </c>
    </row>
    <row r="876" spans="1:17">
      <c r="A876" s="11">
        <f t="shared" si="13"/>
        <v>875</v>
      </c>
      <c r="B876" s="12">
        <v>8020022653</v>
      </c>
      <c r="C876" s="30" t="s">
        <v>1292</v>
      </c>
      <c r="D876" s="30"/>
      <c r="E876" s="30"/>
      <c r="F876" s="30"/>
      <c r="G876" s="43">
        <v>20349</v>
      </c>
      <c r="H876" s="31">
        <v>18332.43243243243</v>
      </c>
      <c r="I876" s="13" t="s">
        <v>12</v>
      </c>
      <c r="J876" s="13" t="s">
        <v>13</v>
      </c>
      <c r="K876" s="14" t="s">
        <v>1265</v>
      </c>
      <c r="L876" s="12" t="s">
        <v>1266</v>
      </c>
      <c r="M876" s="12" t="s">
        <v>11</v>
      </c>
      <c r="N876" s="15" t="s">
        <v>1267</v>
      </c>
      <c r="O876" s="15" t="s">
        <v>15</v>
      </c>
      <c r="P876" s="12" t="s">
        <v>16</v>
      </c>
      <c r="Q876" s="16">
        <v>2958465</v>
      </c>
    </row>
    <row r="877" spans="1:17">
      <c r="A877" s="11">
        <f t="shared" si="13"/>
        <v>876</v>
      </c>
      <c r="B877" s="11">
        <v>8020022654</v>
      </c>
      <c r="C877" s="25" t="s">
        <v>65</v>
      </c>
      <c r="D877" s="27">
        <v>20739</v>
      </c>
      <c r="E877" s="11">
        <v>0.56000000000000005</v>
      </c>
      <c r="F877" s="11" t="s">
        <v>11</v>
      </c>
      <c r="G877" s="44">
        <v>11614</v>
      </c>
      <c r="H877" s="28">
        <v>10463.063063063062</v>
      </c>
      <c r="I877" s="19" t="s">
        <v>12</v>
      </c>
      <c r="J877" s="19" t="s">
        <v>13</v>
      </c>
      <c r="K877" s="32" t="s">
        <v>14</v>
      </c>
      <c r="L877" s="22"/>
      <c r="M877" s="22"/>
      <c r="N877" s="22"/>
      <c r="O877" s="20" t="s">
        <v>15</v>
      </c>
      <c r="P877" s="25" t="s">
        <v>16</v>
      </c>
      <c r="Q877" s="16">
        <v>2958465</v>
      </c>
    </row>
    <row r="878" spans="1:17">
      <c r="A878" s="11">
        <f t="shared" si="13"/>
        <v>877</v>
      </c>
      <c r="B878" s="11">
        <v>8020022655</v>
      </c>
      <c r="C878" s="25" t="s">
        <v>68</v>
      </c>
      <c r="D878" s="27">
        <v>38167</v>
      </c>
      <c r="E878" s="11">
        <v>0.56000000000000005</v>
      </c>
      <c r="F878" s="11" t="s">
        <v>11</v>
      </c>
      <c r="G878" s="44">
        <v>21374</v>
      </c>
      <c r="H878" s="28">
        <v>19255.855855855854</v>
      </c>
      <c r="I878" s="19" t="s">
        <v>12</v>
      </c>
      <c r="J878" s="19" t="s">
        <v>13</v>
      </c>
      <c r="K878" s="32" t="s">
        <v>14</v>
      </c>
      <c r="L878" s="22"/>
      <c r="M878" s="22"/>
      <c r="N878" s="22"/>
      <c r="O878" s="20" t="s">
        <v>15</v>
      </c>
      <c r="P878" s="25" t="s">
        <v>16</v>
      </c>
      <c r="Q878" s="16">
        <v>2958465</v>
      </c>
    </row>
    <row r="879" spans="1:17">
      <c r="A879" s="11">
        <f t="shared" si="13"/>
        <v>878</v>
      </c>
      <c r="B879" s="11">
        <v>8020022656</v>
      </c>
      <c r="C879" s="25" t="s">
        <v>22</v>
      </c>
      <c r="D879" s="27">
        <v>52188</v>
      </c>
      <c r="E879" s="11">
        <v>0.56000000000000005</v>
      </c>
      <c r="F879" s="11" t="s">
        <v>11</v>
      </c>
      <c r="G879" s="44">
        <v>29225</v>
      </c>
      <c r="H879" s="28">
        <v>26328.828828828828</v>
      </c>
      <c r="I879" s="19" t="s">
        <v>12</v>
      </c>
      <c r="J879" s="19" t="s">
        <v>13</v>
      </c>
      <c r="K879" s="32" t="s">
        <v>14</v>
      </c>
      <c r="L879" s="22"/>
      <c r="M879" s="22"/>
      <c r="N879" s="22"/>
      <c r="O879" s="20" t="s">
        <v>15</v>
      </c>
      <c r="P879" s="25" t="s">
        <v>16</v>
      </c>
      <c r="Q879" s="16">
        <v>2958465</v>
      </c>
    </row>
    <row r="880" spans="1:17">
      <c r="A880" s="11">
        <f t="shared" si="13"/>
        <v>879</v>
      </c>
      <c r="B880" s="11">
        <v>8020022657</v>
      </c>
      <c r="C880" s="25" t="s">
        <v>95</v>
      </c>
      <c r="D880" s="27">
        <v>3379</v>
      </c>
      <c r="E880" s="11">
        <v>0.56000000000000005</v>
      </c>
      <c r="F880" s="11" t="s">
        <v>11</v>
      </c>
      <c r="G880" s="44">
        <v>1892</v>
      </c>
      <c r="H880" s="28">
        <v>1704.5045045045044</v>
      </c>
      <c r="I880" s="19" t="s">
        <v>12</v>
      </c>
      <c r="J880" s="19" t="s">
        <v>13</v>
      </c>
      <c r="K880" s="32" t="s">
        <v>14</v>
      </c>
      <c r="L880" s="22"/>
      <c r="M880" s="22"/>
      <c r="N880" s="22"/>
      <c r="O880" s="20" t="s">
        <v>15</v>
      </c>
      <c r="P880" s="25" t="s">
        <v>16</v>
      </c>
      <c r="Q880" s="16">
        <v>2958465</v>
      </c>
    </row>
    <row r="881" spans="1:17">
      <c r="A881" s="11">
        <f t="shared" si="13"/>
        <v>880</v>
      </c>
      <c r="B881" s="11">
        <v>8020022658</v>
      </c>
      <c r="C881" s="25" t="s">
        <v>69</v>
      </c>
      <c r="D881" s="27">
        <v>4273</v>
      </c>
      <c r="E881" s="11">
        <v>0.56000000000000005</v>
      </c>
      <c r="F881" s="11" t="s">
        <v>11</v>
      </c>
      <c r="G881" s="44">
        <v>2393</v>
      </c>
      <c r="H881" s="28">
        <v>2155.8558558558557</v>
      </c>
      <c r="I881" s="19" t="s">
        <v>12</v>
      </c>
      <c r="J881" s="19" t="s">
        <v>13</v>
      </c>
      <c r="K881" s="32" t="s">
        <v>14</v>
      </c>
      <c r="L881" s="22"/>
      <c r="M881" s="22"/>
      <c r="N881" s="22"/>
      <c r="O881" s="20" t="s">
        <v>15</v>
      </c>
      <c r="P881" s="25" t="s">
        <v>16</v>
      </c>
      <c r="Q881" s="16">
        <v>2958465</v>
      </c>
    </row>
    <row r="882" spans="1:17">
      <c r="A882" s="11">
        <f t="shared" si="13"/>
        <v>881</v>
      </c>
      <c r="B882" s="11">
        <v>8020022659</v>
      </c>
      <c r="C882" s="25" t="s">
        <v>21</v>
      </c>
      <c r="D882" s="27">
        <v>7254</v>
      </c>
      <c r="E882" s="11">
        <v>0.56000000000000005</v>
      </c>
      <c r="F882" s="11" t="s">
        <v>11</v>
      </c>
      <c r="G882" s="44">
        <v>4062</v>
      </c>
      <c r="H882" s="28">
        <v>3659.4594594594591</v>
      </c>
      <c r="I882" s="19" t="s">
        <v>12</v>
      </c>
      <c r="J882" s="19" t="s">
        <v>13</v>
      </c>
      <c r="K882" s="32" t="s">
        <v>14</v>
      </c>
      <c r="L882" s="22"/>
      <c r="M882" s="22"/>
      <c r="N882" s="22"/>
      <c r="O882" s="20" t="s">
        <v>15</v>
      </c>
      <c r="P882" s="25" t="s">
        <v>16</v>
      </c>
      <c r="Q882" s="16">
        <v>2958465</v>
      </c>
    </row>
    <row r="883" spans="1:17">
      <c r="A883" s="11">
        <f t="shared" si="13"/>
        <v>882</v>
      </c>
      <c r="B883" s="11">
        <v>8020022660</v>
      </c>
      <c r="C883" s="25" t="s">
        <v>70</v>
      </c>
      <c r="D883" s="27">
        <v>8558</v>
      </c>
      <c r="E883" s="11">
        <v>0.56000000000000005</v>
      </c>
      <c r="F883" s="11" t="s">
        <v>11</v>
      </c>
      <c r="G883" s="44">
        <v>4792</v>
      </c>
      <c r="H883" s="28">
        <v>4317.1171171171163</v>
      </c>
      <c r="I883" s="19" t="s">
        <v>12</v>
      </c>
      <c r="J883" s="19" t="s">
        <v>13</v>
      </c>
      <c r="K883" s="32" t="s">
        <v>14</v>
      </c>
      <c r="L883" s="22"/>
      <c r="M883" s="22"/>
      <c r="N883" s="22"/>
      <c r="O883" s="20" t="s">
        <v>15</v>
      </c>
      <c r="P883" s="25" t="s">
        <v>16</v>
      </c>
      <c r="Q883" s="16">
        <v>2958465</v>
      </c>
    </row>
    <row r="884" spans="1:17">
      <c r="A884" s="11">
        <f t="shared" si="13"/>
        <v>883</v>
      </c>
      <c r="B884" s="11">
        <v>8020022661</v>
      </c>
      <c r="C884" s="25" t="s">
        <v>71</v>
      </c>
      <c r="D884" s="27">
        <v>9148</v>
      </c>
      <c r="E884" s="11">
        <v>0.56000000000000005</v>
      </c>
      <c r="F884" s="11" t="s">
        <v>11</v>
      </c>
      <c r="G884" s="44">
        <v>5123</v>
      </c>
      <c r="H884" s="28">
        <v>4615.3153153153153</v>
      </c>
      <c r="I884" s="19" t="s">
        <v>12</v>
      </c>
      <c r="J884" s="19" t="s">
        <v>13</v>
      </c>
      <c r="K884" s="32" t="s">
        <v>14</v>
      </c>
      <c r="L884" s="22"/>
      <c r="M884" s="22"/>
      <c r="N884" s="22"/>
      <c r="O884" s="20" t="s">
        <v>15</v>
      </c>
      <c r="P884" s="25" t="s">
        <v>16</v>
      </c>
      <c r="Q884" s="16">
        <v>2958465</v>
      </c>
    </row>
    <row r="885" spans="1:17">
      <c r="A885" s="11">
        <f t="shared" si="13"/>
        <v>884</v>
      </c>
      <c r="B885" s="11">
        <v>8020022662</v>
      </c>
      <c r="C885" s="25" t="s">
        <v>72</v>
      </c>
      <c r="D885" s="27">
        <v>15189</v>
      </c>
      <c r="E885" s="11">
        <v>0.56000000000000005</v>
      </c>
      <c r="F885" s="11" t="s">
        <v>11</v>
      </c>
      <c r="G885" s="44">
        <v>8506</v>
      </c>
      <c r="H885" s="28">
        <v>7663.0630630630621</v>
      </c>
      <c r="I885" s="19" t="s">
        <v>12</v>
      </c>
      <c r="J885" s="19" t="s">
        <v>13</v>
      </c>
      <c r="K885" s="32" t="s">
        <v>14</v>
      </c>
      <c r="L885" s="22"/>
      <c r="M885" s="22"/>
      <c r="N885" s="22"/>
      <c r="O885" s="20" t="s">
        <v>15</v>
      </c>
      <c r="P885" s="25" t="s">
        <v>16</v>
      </c>
      <c r="Q885" s="16">
        <v>2958465</v>
      </c>
    </row>
    <row r="886" spans="1:17">
      <c r="A886" s="11">
        <f t="shared" si="13"/>
        <v>885</v>
      </c>
      <c r="B886" s="11">
        <v>8020022663</v>
      </c>
      <c r="C886" s="25" t="s">
        <v>73</v>
      </c>
      <c r="D886" s="27">
        <v>17192</v>
      </c>
      <c r="E886" s="11">
        <v>0.56000000000000005</v>
      </c>
      <c r="F886" s="11" t="s">
        <v>11</v>
      </c>
      <c r="G886" s="44">
        <v>9628</v>
      </c>
      <c r="H886" s="28">
        <v>8673.8738738738739</v>
      </c>
      <c r="I886" s="19" t="s">
        <v>12</v>
      </c>
      <c r="J886" s="19" t="s">
        <v>13</v>
      </c>
      <c r="K886" s="32" t="s">
        <v>14</v>
      </c>
      <c r="L886" s="22"/>
      <c r="M886" s="22"/>
      <c r="N886" s="22"/>
      <c r="O886" s="20" t="s">
        <v>15</v>
      </c>
      <c r="P886" s="25" t="s">
        <v>16</v>
      </c>
      <c r="Q886" s="16">
        <v>2958465</v>
      </c>
    </row>
    <row r="887" spans="1:17">
      <c r="A887" s="11">
        <f t="shared" si="13"/>
        <v>886</v>
      </c>
      <c r="B887" s="11">
        <v>8020022664</v>
      </c>
      <c r="C887" s="25" t="s">
        <v>20</v>
      </c>
      <c r="D887" s="27">
        <v>17721</v>
      </c>
      <c r="E887" s="11">
        <v>0.56000000000000005</v>
      </c>
      <c r="F887" s="11" t="s">
        <v>11</v>
      </c>
      <c r="G887" s="44">
        <v>9924</v>
      </c>
      <c r="H887" s="28">
        <v>8940.54054054054</v>
      </c>
      <c r="I887" s="19" t="s">
        <v>12</v>
      </c>
      <c r="J887" s="19" t="s">
        <v>13</v>
      </c>
      <c r="K887" s="32" t="s">
        <v>14</v>
      </c>
      <c r="L887" s="22"/>
      <c r="M887" s="22"/>
      <c r="N887" s="22"/>
      <c r="O887" s="20" t="s">
        <v>15</v>
      </c>
      <c r="P887" s="25" t="s">
        <v>16</v>
      </c>
      <c r="Q887" s="16">
        <v>2958465</v>
      </c>
    </row>
    <row r="888" spans="1:17">
      <c r="A888" s="11">
        <f t="shared" si="13"/>
        <v>887</v>
      </c>
      <c r="B888" s="11">
        <v>8020022665</v>
      </c>
      <c r="C888" s="25" t="s">
        <v>74</v>
      </c>
      <c r="D888" s="27">
        <v>49480</v>
      </c>
      <c r="E888" s="11">
        <v>0.56000000000000005</v>
      </c>
      <c r="F888" s="11" t="s">
        <v>11</v>
      </c>
      <c r="G888" s="44">
        <v>27709</v>
      </c>
      <c r="H888" s="28">
        <v>24963.063063063062</v>
      </c>
      <c r="I888" s="19" t="s">
        <v>12</v>
      </c>
      <c r="J888" s="19" t="s">
        <v>13</v>
      </c>
      <c r="K888" s="32" t="s">
        <v>14</v>
      </c>
      <c r="L888" s="22"/>
      <c r="M888" s="22"/>
      <c r="N888" s="22"/>
      <c r="O888" s="20" t="s">
        <v>15</v>
      </c>
      <c r="P888" s="25" t="s">
        <v>16</v>
      </c>
      <c r="Q888" s="16">
        <v>2958465</v>
      </c>
    </row>
    <row r="889" spans="1:17">
      <c r="A889" s="11">
        <f t="shared" si="13"/>
        <v>888</v>
      </c>
      <c r="B889" s="11">
        <v>8020022666</v>
      </c>
      <c r="C889" s="25" t="s">
        <v>75</v>
      </c>
      <c r="D889" s="27">
        <v>50169</v>
      </c>
      <c r="E889" s="11">
        <v>0.56000000000000005</v>
      </c>
      <c r="F889" s="11" t="s">
        <v>11</v>
      </c>
      <c r="G889" s="44">
        <v>28095</v>
      </c>
      <c r="H889" s="28">
        <v>25310.81081081081</v>
      </c>
      <c r="I889" s="19" t="s">
        <v>12</v>
      </c>
      <c r="J889" s="19" t="s">
        <v>13</v>
      </c>
      <c r="K889" s="32" t="s">
        <v>14</v>
      </c>
      <c r="L889" s="22"/>
      <c r="M889" s="22"/>
      <c r="N889" s="22"/>
      <c r="O889" s="20" t="s">
        <v>15</v>
      </c>
      <c r="P889" s="25" t="s">
        <v>16</v>
      </c>
      <c r="Q889" s="16">
        <v>2958465</v>
      </c>
    </row>
    <row r="890" spans="1:17">
      <c r="A890" s="11">
        <f t="shared" si="13"/>
        <v>889</v>
      </c>
      <c r="B890" s="11">
        <v>8020022667</v>
      </c>
      <c r="C890" s="25" t="s">
        <v>76</v>
      </c>
      <c r="D890" s="27">
        <v>3935</v>
      </c>
      <c r="E890" s="11">
        <v>0.56000000000000005</v>
      </c>
      <c r="F890" s="11" t="s">
        <v>11</v>
      </c>
      <c r="G890" s="44">
        <v>2204</v>
      </c>
      <c r="H890" s="28">
        <v>1985.5855855855855</v>
      </c>
      <c r="I890" s="19" t="s">
        <v>12</v>
      </c>
      <c r="J890" s="19" t="s">
        <v>13</v>
      </c>
      <c r="K890" s="32" t="s">
        <v>14</v>
      </c>
      <c r="L890" s="22"/>
      <c r="M890" s="22"/>
      <c r="N890" s="22"/>
      <c r="O890" s="20" t="s">
        <v>15</v>
      </c>
      <c r="P890" s="25" t="s">
        <v>16</v>
      </c>
      <c r="Q890" s="16">
        <v>2958465</v>
      </c>
    </row>
    <row r="891" spans="1:17">
      <c r="A891" s="11">
        <f t="shared" si="13"/>
        <v>890</v>
      </c>
      <c r="B891" s="11">
        <v>8020022668</v>
      </c>
      <c r="C891" s="25" t="s">
        <v>77</v>
      </c>
      <c r="D891" s="27">
        <v>9935</v>
      </c>
      <c r="E891" s="11">
        <v>0.56000000000000005</v>
      </c>
      <c r="F891" s="11" t="s">
        <v>11</v>
      </c>
      <c r="G891" s="44">
        <v>5564</v>
      </c>
      <c r="H891" s="28">
        <v>5012.6126126126119</v>
      </c>
      <c r="I891" s="19" t="s">
        <v>12</v>
      </c>
      <c r="J891" s="19" t="s">
        <v>13</v>
      </c>
      <c r="K891" s="32" t="s">
        <v>14</v>
      </c>
      <c r="L891" s="22"/>
      <c r="M891" s="22"/>
      <c r="N891" s="22"/>
      <c r="O891" s="20" t="s">
        <v>15</v>
      </c>
      <c r="P891" s="25" t="s">
        <v>16</v>
      </c>
      <c r="Q891" s="16">
        <v>2958465</v>
      </c>
    </row>
    <row r="892" spans="1:17">
      <c r="A892" s="11">
        <f t="shared" si="13"/>
        <v>891</v>
      </c>
      <c r="B892" s="11">
        <v>8020022669</v>
      </c>
      <c r="C892" s="25" t="s">
        <v>78</v>
      </c>
      <c r="D892" s="27">
        <v>17429</v>
      </c>
      <c r="E892" s="11">
        <v>0.56000000000000005</v>
      </c>
      <c r="F892" s="11" t="s">
        <v>11</v>
      </c>
      <c r="G892" s="44">
        <v>9760</v>
      </c>
      <c r="H892" s="28">
        <v>8792.7927927927922</v>
      </c>
      <c r="I892" s="19" t="s">
        <v>12</v>
      </c>
      <c r="J892" s="19" t="s">
        <v>13</v>
      </c>
      <c r="K892" s="32" t="s">
        <v>14</v>
      </c>
      <c r="L892" s="22"/>
      <c r="M892" s="22"/>
      <c r="N892" s="22"/>
      <c r="O892" s="20" t="s">
        <v>15</v>
      </c>
      <c r="P892" s="25" t="s">
        <v>16</v>
      </c>
      <c r="Q892" s="16">
        <v>2958465</v>
      </c>
    </row>
    <row r="893" spans="1:17">
      <c r="A893" s="11">
        <f t="shared" si="13"/>
        <v>892</v>
      </c>
      <c r="B893" s="11">
        <v>8020022670</v>
      </c>
      <c r="C893" s="25" t="s">
        <v>79</v>
      </c>
      <c r="D893" s="27">
        <v>42988</v>
      </c>
      <c r="E893" s="11">
        <v>0.56000000000000005</v>
      </c>
      <c r="F893" s="11" t="s">
        <v>11</v>
      </c>
      <c r="G893" s="44">
        <v>24073</v>
      </c>
      <c r="H893" s="28">
        <v>21687.387387387385</v>
      </c>
      <c r="I893" s="19" t="s">
        <v>12</v>
      </c>
      <c r="J893" s="19" t="s">
        <v>13</v>
      </c>
      <c r="K893" s="32" t="s">
        <v>14</v>
      </c>
      <c r="L893" s="22"/>
      <c r="M893" s="22"/>
      <c r="N893" s="22"/>
      <c r="O893" s="20" t="s">
        <v>15</v>
      </c>
      <c r="P893" s="25" t="s">
        <v>16</v>
      </c>
      <c r="Q893" s="16">
        <v>2958465</v>
      </c>
    </row>
    <row r="894" spans="1:17">
      <c r="A894" s="11">
        <f t="shared" si="13"/>
        <v>893</v>
      </c>
      <c r="B894" s="11">
        <v>8020022671</v>
      </c>
      <c r="C894" s="25" t="s">
        <v>17</v>
      </c>
      <c r="D894" s="27">
        <v>11017</v>
      </c>
      <c r="E894" s="11">
        <v>0.56000000000000005</v>
      </c>
      <c r="F894" s="11" t="s">
        <v>11</v>
      </c>
      <c r="G894" s="44">
        <v>6170</v>
      </c>
      <c r="H894" s="28">
        <v>5558.5585585585577</v>
      </c>
      <c r="I894" s="19" t="s">
        <v>12</v>
      </c>
      <c r="J894" s="19" t="s">
        <v>13</v>
      </c>
      <c r="K894" s="32" t="s">
        <v>14</v>
      </c>
      <c r="L894" s="22"/>
      <c r="M894" s="22"/>
      <c r="N894" s="22"/>
      <c r="O894" s="20" t="s">
        <v>15</v>
      </c>
      <c r="P894" s="25" t="s">
        <v>16</v>
      </c>
      <c r="Q894" s="16">
        <v>2958465</v>
      </c>
    </row>
    <row r="895" spans="1:17">
      <c r="A895" s="11">
        <f t="shared" si="13"/>
        <v>894</v>
      </c>
      <c r="B895" s="11">
        <v>8020022672</v>
      </c>
      <c r="C895" s="25" t="s">
        <v>80</v>
      </c>
      <c r="D895" s="27">
        <v>28139</v>
      </c>
      <c r="E895" s="11">
        <v>0.56000000000000005</v>
      </c>
      <c r="F895" s="11" t="s">
        <v>11</v>
      </c>
      <c r="G895" s="44">
        <v>15758</v>
      </c>
      <c r="H895" s="28">
        <v>14196.396396396394</v>
      </c>
      <c r="I895" s="19" t="s">
        <v>12</v>
      </c>
      <c r="J895" s="19" t="s">
        <v>13</v>
      </c>
      <c r="K895" s="32" t="s">
        <v>14</v>
      </c>
      <c r="L895" s="22"/>
      <c r="M895" s="22"/>
      <c r="N895" s="22"/>
      <c r="O895" s="20" t="s">
        <v>15</v>
      </c>
      <c r="P895" s="25" t="s">
        <v>16</v>
      </c>
      <c r="Q895" s="16">
        <v>2958465</v>
      </c>
    </row>
    <row r="896" spans="1:17">
      <c r="A896" s="11">
        <f t="shared" si="13"/>
        <v>895</v>
      </c>
      <c r="B896" s="12">
        <v>8020022742</v>
      </c>
      <c r="C896" s="30" t="s">
        <v>1293</v>
      </c>
      <c r="D896" s="30"/>
      <c r="E896" s="30"/>
      <c r="F896" s="30"/>
      <c r="G896" s="43">
        <v>3496</v>
      </c>
      <c r="H896" s="31">
        <v>3149.5495495495493</v>
      </c>
      <c r="I896" s="13" t="s">
        <v>12</v>
      </c>
      <c r="J896" s="13" t="s">
        <v>13</v>
      </c>
      <c r="K896" s="14" t="s">
        <v>1265</v>
      </c>
      <c r="L896" s="12" t="s">
        <v>1266</v>
      </c>
      <c r="M896" s="12" t="s">
        <v>11</v>
      </c>
      <c r="N896" s="15" t="s">
        <v>1267</v>
      </c>
      <c r="O896" s="15" t="s">
        <v>15</v>
      </c>
      <c r="P896" s="12" t="s">
        <v>16</v>
      </c>
      <c r="Q896" s="16">
        <v>2958465</v>
      </c>
    </row>
    <row r="897" spans="1:17">
      <c r="A897" s="11">
        <f t="shared" si="13"/>
        <v>896</v>
      </c>
      <c r="B897" s="11">
        <v>8020022743</v>
      </c>
      <c r="C897" s="25" t="s">
        <v>35</v>
      </c>
      <c r="D897" s="27">
        <v>9043</v>
      </c>
      <c r="E897" s="11">
        <v>0.56000000000000005</v>
      </c>
      <c r="F897" s="11" t="s">
        <v>11</v>
      </c>
      <c r="G897" s="44">
        <v>5064</v>
      </c>
      <c r="H897" s="28">
        <v>4562.1621621621616</v>
      </c>
      <c r="I897" s="19" t="s">
        <v>12</v>
      </c>
      <c r="J897" s="19" t="s">
        <v>13</v>
      </c>
      <c r="K897" s="32" t="s">
        <v>14</v>
      </c>
      <c r="L897" s="22"/>
      <c r="M897" s="22"/>
      <c r="N897" s="22"/>
      <c r="O897" s="20" t="s">
        <v>15</v>
      </c>
      <c r="P897" s="25" t="s">
        <v>16</v>
      </c>
      <c r="Q897" s="16">
        <v>2958465</v>
      </c>
    </row>
    <row r="898" spans="1:17">
      <c r="A898" s="11">
        <f t="shared" si="13"/>
        <v>897</v>
      </c>
      <c r="B898" s="11">
        <v>8020022744</v>
      </c>
      <c r="C898" s="25" t="s">
        <v>36</v>
      </c>
      <c r="D898" s="27">
        <v>51701</v>
      </c>
      <c r="E898" s="11">
        <v>0.56000000000000005</v>
      </c>
      <c r="F898" s="11" t="s">
        <v>11</v>
      </c>
      <c r="G898" s="44">
        <v>28953</v>
      </c>
      <c r="H898" s="28">
        <v>26083.783783783783</v>
      </c>
      <c r="I898" s="19" t="s">
        <v>12</v>
      </c>
      <c r="J898" s="19" t="s">
        <v>13</v>
      </c>
      <c r="K898" s="32" t="s">
        <v>14</v>
      </c>
      <c r="L898" s="22"/>
      <c r="M898" s="22"/>
      <c r="N898" s="22"/>
      <c r="O898" s="20" t="s">
        <v>15</v>
      </c>
      <c r="P898" s="25" t="s">
        <v>16</v>
      </c>
      <c r="Q898" s="16">
        <v>2958465</v>
      </c>
    </row>
    <row r="899" spans="1:17">
      <c r="A899" s="11">
        <f t="shared" si="13"/>
        <v>898</v>
      </c>
      <c r="B899" s="11">
        <v>8020022745</v>
      </c>
      <c r="C899" s="25" t="s">
        <v>37</v>
      </c>
      <c r="D899" s="27">
        <v>156801</v>
      </c>
      <c r="E899" s="11">
        <v>0.56000000000000005</v>
      </c>
      <c r="F899" s="11" t="s">
        <v>11</v>
      </c>
      <c r="G899" s="44">
        <v>87809</v>
      </c>
      <c r="H899" s="28">
        <v>79107.207207207204</v>
      </c>
      <c r="I899" s="19" t="s">
        <v>12</v>
      </c>
      <c r="J899" s="19" t="s">
        <v>13</v>
      </c>
      <c r="K899" s="32" t="s">
        <v>14</v>
      </c>
      <c r="L899" s="22"/>
      <c r="M899" s="22"/>
      <c r="N899" s="22"/>
      <c r="O899" s="20" t="s">
        <v>15</v>
      </c>
      <c r="P899" s="25" t="s">
        <v>16</v>
      </c>
      <c r="Q899" s="16">
        <v>2958465</v>
      </c>
    </row>
    <row r="900" spans="1:17">
      <c r="A900" s="11">
        <f t="shared" si="13"/>
        <v>899</v>
      </c>
      <c r="B900" s="12">
        <v>8020022746</v>
      </c>
      <c r="C900" s="30" t="s">
        <v>1294</v>
      </c>
      <c r="D900" s="30"/>
      <c r="E900" s="30"/>
      <c r="F900" s="30"/>
      <c r="G900" s="43">
        <v>1732</v>
      </c>
      <c r="H900" s="31">
        <v>1560.3603603603601</v>
      </c>
      <c r="I900" s="13" t="s">
        <v>12</v>
      </c>
      <c r="J900" s="13" t="s">
        <v>13</v>
      </c>
      <c r="K900" s="14" t="s">
        <v>1265</v>
      </c>
      <c r="L900" s="12" t="s">
        <v>1266</v>
      </c>
      <c r="M900" s="12" t="s">
        <v>11</v>
      </c>
      <c r="N900" s="15" t="s">
        <v>1267</v>
      </c>
      <c r="O900" s="15" t="s">
        <v>15</v>
      </c>
      <c r="P900" s="12" t="s">
        <v>16</v>
      </c>
      <c r="Q900" s="16">
        <v>2958465</v>
      </c>
    </row>
    <row r="901" spans="1:17">
      <c r="A901" s="11">
        <f t="shared" ref="A901:A964" si="14">ROW()-1</f>
        <v>900</v>
      </c>
      <c r="B901" s="11">
        <v>8020022747</v>
      </c>
      <c r="C901" s="25" t="s">
        <v>38</v>
      </c>
      <c r="D901" s="27">
        <v>16329</v>
      </c>
      <c r="E901" s="11">
        <v>0.56000000000000005</v>
      </c>
      <c r="F901" s="11" t="s">
        <v>11</v>
      </c>
      <c r="G901" s="44">
        <v>9144</v>
      </c>
      <c r="H901" s="28">
        <v>8237.8378378378366</v>
      </c>
      <c r="I901" s="19" t="s">
        <v>12</v>
      </c>
      <c r="J901" s="19" t="s">
        <v>13</v>
      </c>
      <c r="K901" s="32" t="s">
        <v>14</v>
      </c>
      <c r="L901" s="22"/>
      <c r="M901" s="22"/>
      <c r="N901" s="22"/>
      <c r="O901" s="20" t="s">
        <v>15</v>
      </c>
      <c r="P901" s="25" t="s">
        <v>16</v>
      </c>
      <c r="Q901" s="16">
        <v>2958465</v>
      </c>
    </row>
    <row r="902" spans="1:17">
      <c r="A902" s="11">
        <f t="shared" si="14"/>
        <v>901</v>
      </c>
      <c r="B902" s="11">
        <v>8020022748</v>
      </c>
      <c r="C902" s="25" t="s">
        <v>39</v>
      </c>
      <c r="D902" s="27">
        <v>15346</v>
      </c>
      <c r="E902" s="11">
        <v>0.56000000000000005</v>
      </c>
      <c r="F902" s="11" t="s">
        <v>11</v>
      </c>
      <c r="G902" s="44">
        <v>8594</v>
      </c>
      <c r="H902" s="28">
        <v>7742.3423423423419</v>
      </c>
      <c r="I902" s="19" t="s">
        <v>12</v>
      </c>
      <c r="J902" s="19" t="s">
        <v>13</v>
      </c>
      <c r="K902" s="32" t="s">
        <v>14</v>
      </c>
      <c r="L902" s="22"/>
      <c r="M902" s="22"/>
      <c r="N902" s="22"/>
      <c r="O902" s="20" t="s">
        <v>15</v>
      </c>
      <c r="P902" s="25" t="s">
        <v>16</v>
      </c>
      <c r="Q902" s="16">
        <v>2958465</v>
      </c>
    </row>
    <row r="903" spans="1:17">
      <c r="A903" s="11">
        <f t="shared" si="14"/>
        <v>902</v>
      </c>
      <c r="B903" s="11">
        <v>8020022749</v>
      </c>
      <c r="C903" s="25" t="s">
        <v>40</v>
      </c>
      <c r="D903" s="27">
        <v>24986</v>
      </c>
      <c r="E903" s="11">
        <v>0.56000000000000005</v>
      </c>
      <c r="F903" s="11" t="s">
        <v>11</v>
      </c>
      <c r="G903" s="44">
        <v>13992</v>
      </c>
      <c r="H903" s="28">
        <v>12605.405405405405</v>
      </c>
      <c r="I903" s="19" t="s">
        <v>12</v>
      </c>
      <c r="J903" s="19" t="s">
        <v>13</v>
      </c>
      <c r="K903" s="32" t="s">
        <v>14</v>
      </c>
      <c r="L903" s="22"/>
      <c r="M903" s="22"/>
      <c r="N903" s="22"/>
      <c r="O903" s="20" t="s">
        <v>15</v>
      </c>
      <c r="P903" s="25" t="s">
        <v>16</v>
      </c>
      <c r="Q903" s="16">
        <v>2958465</v>
      </c>
    </row>
    <row r="904" spans="1:17">
      <c r="A904" s="11">
        <f t="shared" si="14"/>
        <v>903</v>
      </c>
      <c r="B904" s="11">
        <v>8020022750</v>
      </c>
      <c r="C904" s="25" t="s">
        <v>41</v>
      </c>
      <c r="D904" s="27">
        <v>132307</v>
      </c>
      <c r="E904" s="11">
        <v>0.56000000000000005</v>
      </c>
      <c r="F904" s="11" t="s">
        <v>11</v>
      </c>
      <c r="G904" s="44">
        <v>74092</v>
      </c>
      <c r="H904" s="28">
        <v>66749.549549549542</v>
      </c>
      <c r="I904" s="19" t="s">
        <v>12</v>
      </c>
      <c r="J904" s="19" t="s">
        <v>13</v>
      </c>
      <c r="K904" s="32" t="s">
        <v>14</v>
      </c>
      <c r="L904" s="22"/>
      <c r="M904" s="22"/>
      <c r="N904" s="22"/>
      <c r="O904" s="20" t="s">
        <v>15</v>
      </c>
      <c r="P904" s="25" t="s">
        <v>16</v>
      </c>
      <c r="Q904" s="16">
        <v>2958465</v>
      </c>
    </row>
    <row r="905" spans="1:17">
      <c r="A905" s="11">
        <f t="shared" si="14"/>
        <v>904</v>
      </c>
      <c r="B905" s="11">
        <v>8020022751</v>
      </c>
      <c r="C905" s="25" t="s">
        <v>42</v>
      </c>
      <c r="D905" s="27">
        <v>4427</v>
      </c>
      <c r="E905" s="11">
        <v>0.56000000000000005</v>
      </c>
      <c r="F905" s="11" t="s">
        <v>11</v>
      </c>
      <c r="G905" s="44">
        <v>2479</v>
      </c>
      <c r="H905" s="28">
        <v>2233.333333333333</v>
      </c>
      <c r="I905" s="19" t="s">
        <v>12</v>
      </c>
      <c r="J905" s="19" t="s">
        <v>13</v>
      </c>
      <c r="K905" s="32" t="s">
        <v>14</v>
      </c>
      <c r="L905" s="22"/>
      <c r="M905" s="22"/>
      <c r="N905" s="22"/>
      <c r="O905" s="20" t="s">
        <v>15</v>
      </c>
      <c r="P905" s="25" t="s">
        <v>16</v>
      </c>
      <c r="Q905" s="16">
        <v>2958465</v>
      </c>
    </row>
    <row r="906" spans="1:17">
      <c r="A906" s="11">
        <f t="shared" si="14"/>
        <v>905</v>
      </c>
      <c r="B906" s="11">
        <v>8020022752</v>
      </c>
      <c r="C906" s="25" t="s">
        <v>43</v>
      </c>
      <c r="D906" s="27">
        <v>9341</v>
      </c>
      <c r="E906" s="11">
        <v>0.56000000000000005</v>
      </c>
      <c r="F906" s="11" t="s">
        <v>11</v>
      </c>
      <c r="G906" s="44">
        <v>5231</v>
      </c>
      <c r="H906" s="28">
        <v>4712.6126126126119</v>
      </c>
      <c r="I906" s="19" t="s">
        <v>12</v>
      </c>
      <c r="J906" s="19" t="s">
        <v>13</v>
      </c>
      <c r="K906" s="32" t="s">
        <v>14</v>
      </c>
      <c r="L906" s="22"/>
      <c r="M906" s="22"/>
      <c r="N906" s="22"/>
      <c r="O906" s="20" t="s">
        <v>15</v>
      </c>
      <c r="P906" s="25" t="s">
        <v>16</v>
      </c>
      <c r="Q906" s="16">
        <v>2958465</v>
      </c>
    </row>
    <row r="907" spans="1:17">
      <c r="A907" s="11">
        <f t="shared" si="14"/>
        <v>906</v>
      </c>
      <c r="B907" s="11">
        <v>8020022753</v>
      </c>
      <c r="C907" s="25" t="s">
        <v>44</v>
      </c>
      <c r="D907" s="27">
        <v>28723</v>
      </c>
      <c r="E907" s="11">
        <v>0.56000000000000005</v>
      </c>
      <c r="F907" s="11" t="s">
        <v>11</v>
      </c>
      <c r="G907" s="44">
        <v>16085</v>
      </c>
      <c r="H907" s="28">
        <v>14490.990990990989</v>
      </c>
      <c r="I907" s="19" t="s">
        <v>12</v>
      </c>
      <c r="J907" s="19" t="s">
        <v>13</v>
      </c>
      <c r="K907" s="32" t="s">
        <v>14</v>
      </c>
      <c r="L907" s="22"/>
      <c r="M907" s="22"/>
      <c r="N907" s="22"/>
      <c r="O907" s="20" t="s">
        <v>15</v>
      </c>
      <c r="P907" s="25" t="s">
        <v>16</v>
      </c>
      <c r="Q907" s="16">
        <v>2958465</v>
      </c>
    </row>
    <row r="908" spans="1:17">
      <c r="A908" s="11">
        <f t="shared" si="14"/>
        <v>907</v>
      </c>
      <c r="B908" s="11">
        <v>8020022754</v>
      </c>
      <c r="C908" s="25" t="s">
        <v>45</v>
      </c>
      <c r="D908" s="27">
        <v>3640</v>
      </c>
      <c r="E908" s="11">
        <v>0.56000000000000005</v>
      </c>
      <c r="F908" s="11" t="s">
        <v>11</v>
      </c>
      <c r="G908" s="44">
        <v>2038</v>
      </c>
      <c r="H908" s="28">
        <v>1836.036036036036</v>
      </c>
      <c r="I908" s="19" t="s">
        <v>12</v>
      </c>
      <c r="J908" s="19" t="s">
        <v>13</v>
      </c>
      <c r="K908" s="32" t="s">
        <v>14</v>
      </c>
      <c r="L908" s="22"/>
      <c r="M908" s="22"/>
      <c r="N908" s="22"/>
      <c r="O908" s="20" t="s">
        <v>15</v>
      </c>
      <c r="P908" s="25" t="s">
        <v>16</v>
      </c>
      <c r="Q908" s="16">
        <v>2958465</v>
      </c>
    </row>
    <row r="909" spans="1:17">
      <c r="A909" s="11">
        <f t="shared" si="14"/>
        <v>908</v>
      </c>
      <c r="B909" s="12">
        <v>8020022755</v>
      </c>
      <c r="C909" s="30" t="s">
        <v>1295</v>
      </c>
      <c r="D909" s="30"/>
      <c r="E909" s="30"/>
      <c r="F909" s="30"/>
      <c r="G909" s="43">
        <v>7613</v>
      </c>
      <c r="H909" s="31">
        <v>6858.5585585585577</v>
      </c>
      <c r="I909" s="13" t="s">
        <v>12</v>
      </c>
      <c r="J909" s="13" t="s">
        <v>13</v>
      </c>
      <c r="K909" s="14" t="s">
        <v>1265</v>
      </c>
      <c r="L909" s="12" t="s">
        <v>1266</v>
      </c>
      <c r="M909" s="12" t="s">
        <v>11</v>
      </c>
      <c r="N909" s="15" t="s">
        <v>1267</v>
      </c>
      <c r="O909" s="15" t="s">
        <v>15</v>
      </c>
      <c r="P909" s="12" t="s">
        <v>16</v>
      </c>
      <c r="Q909" s="16">
        <v>2958465</v>
      </c>
    </row>
    <row r="910" spans="1:17">
      <c r="A910" s="11">
        <f t="shared" si="14"/>
        <v>909</v>
      </c>
      <c r="B910" s="12">
        <v>8020022756</v>
      </c>
      <c r="C910" s="30" t="s">
        <v>1296</v>
      </c>
      <c r="D910" s="30"/>
      <c r="E910" s="30"/>
      <c r="F910" s="30"/>
      <c r="G910" s="43">
        <v>12880</v>
      </c>
      <c r="H910" s="31">
        <v>11603.603603603602</v>
      </c>
      <c r="I910" s="13" t="s">
        <v>12</v>
      </c>
      <c r="J910" s="13" t="s">
        <v>13</v>
      </c>
      <c r="K910" s="14" t="s">
        <v>1265</v>
      </c>
      <c r="L910" s="12" t="s">
        <v>1266</v>
      </c>
      <c r="M910" s="12" t="s">
        <v>11</v>
      </c>
      <c r="N910" s="15" t="s">
        <v>1267</v>
      </c>
      <c r="O910" s="15" t="s">
        <v>15</v>
      </c>
      <c r="P910" s="12" t="s">
        <v>16</v>
      </c>
      <c r="Q910" s="16">
        <v>2958465</v>
      </c>
    </row>
    <row r="911" spans="1:17">
      <c r="A911" s="11">
        <f t="shared" si="14"/>
        <v>910</v>
      </c>
      <c r="B911" s="11">
        <v>8020022757</v>
      </c>
      <c r="C911" s="25" t="s">
        <v>46</v>
      </c>
      <c r="D911" s="27">
        <v>97484</v>
      </c>
      <c r="E911" s="11">
        <v>0.56000000000000005</v>
      </c>
      <c r="F911" s="11" t="s">
        <v>11</v>
      </c>
      <c r="G911" s="44">
        <v>54591</v>
      </c>
      <c r="H911" s="28">
        <v>49181.08108108108</v>
      </c>
      <c r="I911" s="19" t="s">
        <v>12</v>
      </c>
      <c r="J911" s="19" t="s">
        <v>13</v>
      </c>
      <c r="K911" s="32" t="s">
        <v>14</v>
      </c>
      <c r="L911" s="22"/>
      <c r="M911" s="22"/>
      <c r="N911" s="22"/>
      <c r="O911" s="20" t="s">
        <v>15</v>
      </c>
      <c r="P911" s="25" t="s">
        <v>16</v>
      </c>
      <c r="Q911" s="16">
        <v>2958465</v>
      </c>
    </row>
    <row r="912" spans="1:17">
      <c r="A912" s="11">
        <f t="shared" si="14"/>
        <v>911</v>
      </c>
      <c r="B912" s="11">
        <v>8020022758</v>
      </c>
      <c r="C912" s="25" t="s">
        <v>47</v>
      </c>
      <c r="D912" s="27">
        <v>37194</v>
      </c>
      <c r="E912" s="11">
        <v>0.56000000000000005</v>
      </c>
      <c r="F912" s="11" t="s">
        <v>11</v>
      </c>
      <c r="G912" s="44">
        <v>20829</v>
      </c>
      <c r="H912" s="28">
        <v>18764.864864864863</v>
      </c>
      <c r="I912" s="19" t="s">
        <v>12</v>
      </c>
      <c r="J912" s="19" t="s">
        <v>13</v>
      </c>
      <c r="K912" s="32" t="s">
        <v>14</v>
      </c>
      <c r="L912" s="22"/>
      <c r="M912" s="22"/>
      <c r="N912" s="22"/>
      <c r="O912" s="20" t="s">
        <v>15</v>
      </c>
      <c r="P912" s="25" t="s">
        <v>16</v>
      </c>
      <c r="Q912" s="16">
        <v>2958465</v>
      </c>
    </row>
    <row r="913" spans="1:17">
      <c r="A913" s="11">
        <f t="shared" si="14"/>
        <v>912</v>
      </c>
      <c r="B913" s="11">
        <v>8020022759</v>
      </c>
      <c r="C913" s="25" t="s">
        <v>48</v>
      </c>
      <c r="D913" s="27">
        <v>5267</v>
      </c>
      <c r="E913" s="11">
        <v>0.56000000000000005</v>
      </c>
      <c r="F913" s="11" t="s">
        <v>11</v>
      </c>
      <c r="G913" s="44">
        <v>2950</v>
      </c>
      <c r="H913" s="28">
        <v>2657.6576576576576</v>
      </c>
      <c r="I913" s="19" t="s">
        <v>12</v>
      </c>
      <c r="J913" s="19" t="s">
        <v>13</v>
      </c>
      <c r="K913" s="32" t="s">
        <v>14</v>
      </c>
      <c r="L913" s="22"/>
      <c r="M913" s="22"/>
      <c r="N913" s="22"/>
      <c r="O913" s="20" t="s">
        <v>15</v>
      </c>
      <c r="P913" s="25" t="s">
        <v>16</v>
      </c>
      <c r="Q913" s="16">
        <v>2958465</v>
      </c>
    </row>
    <row r="914" spans="1:17">
      <c r="A914" s="11">
        <f t="shared" si="14"/>
        <v>913</v>
      </c>
      <c r="B914" s="12">
        <v>8020022760</v>
      </c>
      <c r="C914" s="30" t="s">
        <v>1297</v>
      </c>
      <c r="D914" s="30"/>
      <c r="E914" s="30"/>
      <c r="F914" s="30"/>
      <c r="G914" s="43">
        <v>2190</v>
      </c>
      <c r="H914" s="31">
        <v>1972.9729729729729</v>
      </c>
      <c r="I914" s="13" t="s">
        <v>12</v>
      </c>
      <c r="J914" s="13" t="s">
        <v>13</v>
      </c>
      <c r="K914" s="14" t="s">
        <v>1265</v>
      </c>
      <c r="L914" s="12" t="s">
        <v>1266</v>
      </c>
      <c r="M914" s="12" t="s">
        <v>11</v>
      </c>
      <c r="N914" s="15" t="s">
        <v>1267</v>
      </c>
      <c r="O914" s="15" t="s">
        <v>15</v>
      </c>
      <c r="P914" s="12" t="s">
        <v>16</v>
      </c>
      <c r="Q914" s="16">
        <v>2958465</v>
      </c>
    </row>
    <row r="915" spans="1:17">
      <c r="A915" s="11">
        <f t="shared" si="14"/>
        <v>914</v>
      </c>
      <c r="B915" s="12">
        <v>8020022761</v>
      </c>
      <c r="C915" s="30" t="s">
        <v>1298</v>
      </c>
      <c r="D915" s="30"/>
      <c r="E915" s="30"/>
      <c r="F915" s="30"/>
      <c r="G915" s="43">
        <v>11922</v>
      </c>
      <c r="H915" s="31">
        <v>10740.54054054054</v>
      </c>
      <c r="I915" s="13" t="s">
        <v>12</v>
      </c>
      <c r="J915" s="13" t="s">
        <v>13</v>
      </c>
      <c r="K915" s="14" t="s">
        <v>1265</v>
      </c>
      <c r="L915" s="12" t="s">
        <v>1266</v>
      </c>
      <c r="M915" s="12" t="s">
        <v>11</v>
      </c>
      <c r="N915" s="15" t="s">
        <v>1267</v>
      </c>
      <c r="O915" s="15" t="s">
        <v>15</v>
      </c>
      <c r="P915" s="12" t="s">
        <v>16</v>
      </c>
      <c r="Q915" s="16">
        <v>2958465</v>
      </c>
    </row>
    <row r="916" spans="1:17">
      <c r="A916" s="11">
        <f t="shared" si="14"/>
        <v>915</v>
      </c>
      <c r="B916" s="11">
        <v>8020022762</v>
      </c>
      <c r="C916" s="25" t="s">
        <v>49</v>
      </c>
      <c r="D916" s="27">
        <v>18887</v>
      </c>
      <c r="E916" s="11">
        <v>0.56000000000000005</v>
      </c>
      <c r="F916" s="11" t="s">
        <v>11</v>
      </c>
      <c r="G916" s="44">
        <v>10577</v>
      </c>
      <c r="H916" s="28">
        <v>9528.8288288288277</v>
      </c>
      <c r="I916" s="19" t="s">
        <v>12</v>
      </c>
      <c r="J916" s="19" t="s">
        <v>13</v>
      </c>
      <c r="K916" s="32" t="s">
        <v>14</v>
      </c>
      <c r="L916" s="22"/>
      <c r="M916" s="22"/>
      <c r="N916" s="22"/>
      <c r="O916" s="20" t="s">
        <v>15</v>
      </c>
      <c r="P916" s="25" t="s">
        <v>16</v>
      </c>
      <c r="Q916" s="16">
        <v>2958465</v>
      </c>
    </row>
    <row r="917" spans="1:17">
      <c r="A917" s="11">
        <f t="shared" si="14"/>
        <v>916</v>
      </c>
      <c r="B917" s="11">
        <v>8020022763</v>
      </c>
      <c r="C917" s="25" t="s">
        <v>50</v>
      </c>
      <c r="D917" s="27">
        <v>21167</v>
      </c>
      <c r="E917" s="11">
        <v>0.56000000000000005</v>
      </c>
      <c r="F917" s="11" t="s">
        <v>11</v>
      </c>
      <c r="G917" s="44">
        <v>11854</v>
      </c>
      <c r="H917" s="28">
        <v>10679.279279279279</v>
      </c>
      <c r="I917" s="19" t="s">
        <v>12</v>
      </c>
      <c r="J917" s="19" t="s">
        <v>13</v>
      </c>
      <c r="K917" s="32" t="s">
        <v>14</v>
      </c>
      <c r="L917" s="22"/>
      <c r="M917" s="22"/>
      <c r="N917" s="22"/>
      <c r="O917" s="20" t="s">
        <v>15</v>
      </c>
      <c r="P917" s="25" t="s">
        <v>16</v>
      </c>
      <c r="Q917" s="16">
        <v>2958465</v>
      </c>
    </row>
    <row r="918" spans="1:17">
      <c r="A918" s="11">
        <f t="shared" si="14"/>
        <v>917</v>
      </c>
      <c r="B918" s="11">
        <v>8020022764</v>
      </c>
      <c r="C918" s="25" t="s">
        <v>51</v>
      </c>
      <c r="D918" s="27">
        <v>59685</v>
      </c>
      <c r="E918" s="11">
        <v>0.56000000000000005</v>
      </c>
      <c r="F918" s="11" t="s">
        <v>11</v>
      </c>
      <c r="G918" s="44">
        <v>33424</v>
      </c>
      <c r="H918" s="28">
        <v>30111.711711711709</v>
      </c>
      <c r="I918" s="19" t="s">
        <v>12</v>
      </c>
      <c r="J918" s="19" t="s">
        <v>13</v>
      </c>
      <c r="K918" s="32" t="s">
        <v>14</v>
      </c>
      <c r="L918" s="22"/>
      <c r="M918" s="22"/>
      <c r="N918" s="22"/>
      <c r="O918" s="20" t="s">
        <v>15</v>
      </c>
      <c r="P918" s="25" t="s">
        <v>16</v>
      </c>
      <c r="Q918" s="16">
        <v>2958465</v>
      </c>
    </row>
    <row r="919" spans="1:17">
      <c r="A919" s="11">
        <f t="shared" si="14"/>
        <v>918</v>
      </c>
      <c r="B919" s="11">
        <v>8020022765</v>
      </c>
      <c r="C919" s="25" t="s">
        <v>34</v>
      </c>
      <c r="D919" s="27">
        <v>7851</v>
      </c>
      <c r="E919" s="11">
        <v>0.56000000000000005</v>
      </c>
      <c r="F919" s="11" t="s">
        <v>11</v>
      </c>
      <c r="G919" s="44">
        <v>4397</v>
      </c>
      <c r="H919" s="28">
        <v>3961.2612612612611</v>
      </c>
      <c r="I919" s="19" t="s">
        <v>12</v>
      </c>
      <c r="J919" s="19" t="s">
        <v>13</v>
      </c>
      <c r="K919" s="32" t="s">
        <v>14</v>
      </c>
      <c r="L919" s="22"/>
      <c r="M919" s="22"/>
      <c r="N919" s="22"/>
      <c r="O919" s="20" t="s">
        <v>15</v>
      </c>
      <c r="P919" s="25" t="s">
        <v>16</v>
      </c>
      <c r="Q919" s="16">
        <v>2958465</v>
      </c>
    </row>
    <row r="920" spans="1:17">
      <c r="A920" s="11">
        <f t="shared" si="14"/>
        <v>919</v>
      </c>
      <c r="B920" s="11">
        <v>8020022766</v>
      </c>
      <c r="C920" s="25" t="s">
        <v>10</v>
      </c>
      <c r="D920" s="27">
        <v>19278</v>
      </c>
      <c r="E920" s="11">
        <v>0.56000000000000005</v>
      </c>
      <c r="F920" s="11" t="s">
        <v>11</v>
      </c>
      <c r="G920" s="44">
        <v>10796</v>
      </c>
      <c r="H920" s="28">
        <v>9726.1261261261261</v>
      </c>
      <c r="I920" s="19" t="s">
        <v>12</v>
      </c>
      <c r="J920" s="19" t="s">
        <v>13</v>
      </c>
      <c r="K920" s="32" t="s">
        <v>14</v>
      </c>
      <c r="L920" s="22"/>
      <c r="M920" s="22"/>
      <c r="N920" s="22"/>
      <c r="O920" s="20" t="s">
        <v>15</v>
      </c>
      <c r="P920" s="25" t="s">
        <v>16</v>
      </c>
      <c r="Q920" s="16">
        <v>2958465</v>
      </c>
    </row>
    <row r="921" spans="1:17">
      <c r="A921" s="11">
        <f t="shared" si="14"/>
        <v>920</v>
      </c>
      <c r="B921" s="12">
        <v>8020022784</v>
      </c>
      <c r="C921" s="30" t="s">
        <v>1299</v>
      </c>
      <c r="D921" s="30"/>
      <c r="E921" s="30"/>
      <c r="F921" s="30"/>
      <c r="G921" s="43">
        <v>4453</v>
      </c>
      <c r="H921" s="31">
        <v>4011.7117117117114</v>
      </c>
      <c r="I921" s="13" t="s">
        <v>12</v>
      </c>
      <c r="J921" s="13" t="s">
        <v>13</v>
      </c>
      <c r="K921" s="14" t="s">
        <v>1265</v>
      </c>
      <c r="L921" s="12" t="s">
        <v>1266</v>
      </c>
      <c r="M921" s="12" t="s">
        <v>11</v>
      </c>
      <c r="N921" s="15" t="s">
        <v>1267</v>
      </c>
      <c r="O921" s="15" t="s">
        <v>15</v>
      </c>
      <c r="P921" s="12" t="s">
        <v>16</v>
      </c>
      <c r="Q921" s="16">
        <v>2958465</v>
      </c>
    </row>
    <row r="922" spans="1:17">
      <c r="A922" s="11">
        <f t="shared" si="14"/>
        <v>921</v>
      </c>
      <c r="B922" s="11">
        <v>8020022785</v>
      </c>
      <c r="C922" s="25" t="s">
        <v>18</v>
      </c>
      <c r="D922" s="27">
        <v>32856</v>
      </c>
      <c r="E922" s="11">
        <v>0.56000000000000005</v>
      </c>
      <c r="F922" s="11" t="s">
        <v>11</v>
      </c>
      <c r="G922" s="44">
        <v>18399</v>
      </c>
      <c r="H922" s="28">
        <v>16575.675675675673</v>
      </c>
      <c r="I922" s="19" t="s">
        <v>12</v>
      </c>
      <c r="J922" s="19" t="s">
        <v>13</v>
      </c>
      <c r="K922" s="32" t="s">
        <v>14</v>
      </c>
      <c r="L922" s="22"/>
      <c r="M922" s="22"/>
      <c r="N922" s="22"/>
      <c r="O922" s="20" t="s">
        <v>15</v>
      </c>
      <c r="P922" s="25" t="s">
        <v>16</v>
      </c>
      <c r="Q922" s="16">
        <v>2958465</v>
      </c>
    </row>
    <row r="923" spans="1:17">
      <c r="A923" s="11">
        <f t="shared" si="14"/>
        <v>922</v>
      </c>
      <c r="B923" s="11">
        <v>8020022786</v>
      </c>
      <c r="C923" s="25" t="s">
        <v>19</v>
      </c>
      <c r="D923" s="27">
        <v>11214</v>
      </c>
      <c r="E923" s="11">
        <v>0.56000000000000005</v>
      </c>
      <c r="F923" s="11" t="s">
        <v>11</v>
      </c>
      <c r="G923" s="44">
        <v>6280</v>
      </c>
      <c r="H923" s="28">
        <v>5657.6576576576572</v>
      </c>
      <c r="I923" s="19" t="s">
        <v>12</v>
      </c>
      <c r="J923" s="19" t="s">
        <v>13</v>
      </c>
      <c r="K923" s="32" t="s">
        <v>14</v>
      </c>
      <c r="L923" s="22"/>
      <c r="M923" s="22"/>
      <c r="N923" s="22"/>
      <c r="O923" s="20" t="s">
        <v>15</v>
      </c>
      <c r="P923" s="25" t="s">
        <v>16</v>
      </c>
      <c r="Q923" s="16">
        <v>2958465</v>
      </c>
    </row>
    <row r="924" spans="1:17">
      <c r="A924" s="11">
        <f t="shared" si="14"/>
        <v>923</v>
      </c>
      <c r="B924" s="11">
        <v>8020022787</v>
      </c>
      <c r="C924" s="25" t="s">
        <v>24</v>
      </c>
      <c r="D924" s="27">
        <v>15641</v>
      </c>
      <c r="E924" s="11">
        <v>0.56000000000000005</v>
      </c>
      <c r="F924" s="11" t="s">
        <v>11</v>
      </c>
      <c r="G924" s="44">
        <v>8759</v>
      </c>
      <c r="H924" s="28">
        <v>7890.9909909909902</v>
      </c>
      <c r="I924" s="19" t="s">
        <v>12</v>
      </c>
      <c r="J924" s="19" t="s">
        <v>13</v>
      </c>
      <c r="K924" s="32" t="s">
        <v>14</v>
      </c>
      <c r="L924" s="22"/>
      <c r="M924" s="22"/>
      <c r="N924" s="22"/>
      <c r="O924" s="20" t="s">
        <v>15</v>
      </c>
      <c r="P924" s="25" t="s">
        <v>16</v>
      </c>
      <c r="Q924" s="16">
        <v>2958465</v>
      </c>
    </row>
    <row r="925" spans="1:17">
      <c r="A925" s="11">
        <f t="shared" si="14"/>
        <v>924</v>
      </c>
      <c r="B925" s="11">
        <v>8020022788</v>
      </c>
      <c r="C925" s="25" t="s">
        <v>25</v>
      </c>
      <c r="D925" s="27">
        <v>6788</v>
      </c>
      <c r="E925" s="11">
        <v>0.56000000000000005</v>
      </c>
      <c r="F925" s="11" t="s">
        <v>11</v>
      </c>
      <c r="G925" s="44">
        <v>3801</v>
      </c>
      <c r="H925" s="28">
        <v>3424.3243243243242</v>
      </c>
      <c r="I925" s="19" t="s">
        <v>12</v>
      </c>
      <c r="J925" s="19" t="s">
        <v>13</v>
      </c>
      <c r="K925" s="32" t="s">
        <v>14</v>
      </c>
      <c r="L925" s="22"/>
      <c r="M925" s="22"/>
      <c r="N925" s="22"/>
      <c r="O925" s="20" t="s">
        <v>15</v>
      </c>
      <c r="P925" s="25" t="s">
        <v>16</v>
      </c>
      <c r="Q925" s="16">
        <v>2958465</v>
      </c>
    </row>
    <row r="926" spans="1:17">
      <c r="A926" s="11">
        <f t="shared" si="14"/>
        <v>925</v>
      </c>
      <c r="B926" s="11">
        <v>8020022789</v>
      </c>
      <c r="C926" s="25" t="s">
        <v>26</v>
      </c>
      <c r="D926" s="27">
        <v>25084</v>
      </c>
      <c r="E926" s="11">
        <v>0.56000000000000005</v>
      </c>
      <c r="F926" s="11" t="s">
        <v>11</v>
      </c>
      <c r="G926" s="44">
        <v>14047</v>
      </c>
      <c r="H926" s="28">
        <v>12654.954954954954</v>
      </c>
      <c r="I926" s="19" t="s">
        <v>12</v>
      </c>
      <c r="J926" s="19" t="s">
        <v>13</v>
      </c>
      <c r="K926" s="32" t="s">
        <v>14</v>
      </c>
      <c r="L926" s="22"/>
      <c r="M926" s="22"/>
      <c r="N926" s="22"/>
      <c r="O926" s="20" t="s">
        <v>15</v>
      </c>
      <c r="P926" s="25" t="s">
        <v>16</v>
      </c>
      <c r="Q926" s="16">
        <v>2958465</v>
      </c>
    </row>
    <row r="927" spans="1:17">
      <c r="A927" s="11">
        <f t="shared" si="14"/>
        <v>926</v>
      </c>
      <c r="B927" s="11">
        <v>8020022790</v>
      </c>
      <c r="C927" s="25" t="s">
        <v>27</v>
      </c>
      <c r="D927" s="27">
        <v>60756</v>
      </c>
      <c r="E927" s="11">
        <v>0.56000000000000005</v>
      </c>
      <c r="F927" s="11" t="s">
        <v>11</v>
      </c>
      <c r="G927" s="44">
        <v>34023</v>
      </c>
      <c r="H927" s="28">
        <v>30651.35135135135</v>
      </c>
      <c r="I927" s="19" t="s">
        <v>12</v>
      </c>
      <c r="J927" s="19" t="s">
        <v>13</v>
      </c>
      <c r="K927" s="32" t="s">
        <v>14</v>
      </c>
      <c r="L927" s="22"/>
      <c r="M927" s="22"/>
      <c r="N927" s="22"/>
      <c r="O927" s="20" t="s">
        <v>15</v>
      </c>
      <c r="P927" s="25" t="s">
        <v>16</v>
      </c>
      <c r="Q927" s="16">
        <v>2958465</v>
      </c>
    </row>
    <row r="928" spans="1:17">
      <c r="A928" s="11">
        <f t="shared" si="14"/>
        <v>927</v>
      </c>
      <c r="B928" s="11">
        <v>8020022791</v>
      </c>
      <c r="C928" s="25" t="s">
        <v>28</v>
      </c>
      <c r="D928" s="27">
        <v>52286</v>
      </c>
      <c r="E928" s="11">
        <v>0.56000000000000005</v>
      </c>
      <c r="F928" s="11" t="s">
        <v>11</v>
      </c>
      <c r="G928" s="44">
        <v>29280</v>
      </c>
      <c r="H928" s="28">
        <v>26378.378378378377</v>
      </c>
      <c r="I928" s="19" t="s">
        <v>12</v>
      </c>
      <c r="J928" s="19" t="s">
        <v>13</v>
      </c>
      <c r="K928" s="32" t="s">
        <v>14</v>
      </c>
      <c r="L928" s="22"/>
      <c r="M928" s="22"/>
      <c r="N928" s="22"/>
      <c r="O928" s="20" t="s">
        <v>15</v>
      </c>
      <c r="P928" s="25" t="s">
        <v>16</v>
      </c>
      <c r="Q928" s="16">
        <v>2958465</v>
      </c>
    </row>
    <row r="929" spans="1:17">
      <c r="A929" s="11">
        <f t="shared" si="14"/>
        <v>928</v>
      </c>
      <c r="B929" s="11">
        <v>8020022805</v>
      </c>
      <c r="C929" s="25" t="s">
        <v>29</v>
      </c>
      <c r="D929" s="27">
        <v>3180</v>
      </c>
      <c r="E929" s="11">
        <v>0.56000000000000005</v>
      </c>
      <c r="F929" s="11" t="s">
        <v>11</v>
      </c>
      <c r="G929" s="44">
        <v>1781</v>
      </c>
      <c r="H929" s="28">
        <v>1604.5045045045044</v>
      </c>
      <c r="I929" s="19" t="s">
        <v>12</v>
      </c>
      <c r="J929" s="19" t="s">
        <v>13</v>
      </c>
      <c r="K929" s="32" t="s">
        <v>14</v>
      </c>
      <c r="L929" s="22"/>
      <c r="M929" s="22"/>
      <c r="N929" s="22"/>
      <c r="O929" s="20" t="s">
        <v>15</v>
      </c>
      <c r="P929" s="25" t="s">
        <v>16</v>
      </c>
      <c r="Q929" s="16">
        <v>2958465</v>
      </c>
    </row>
    <row r="930" spans="1:17">
      <c r="A930" s="11">
        <f t="shared" si="14"/>
        <v>929</v>
      </c>
      <c r="B930" s="12">
        <v>8020022806</v>
      </c>
      <c r="C930" s="30" t="s">
        <v>1300</v>
      </c>
      <c r="D930" s="30"/>
      <c r="E930" s="30"/>
      <c r="F930" s="30"/>
      <c r="G930" s="43">
        <v>15466</v>
      </c>
      <c r="H930" s="31">
        <v>13933.333333333332</v>
      </c>
      <c r="I930" s="13" t="s">
        <v>12</v>
      </c>
      <c r="J930" s="13" t="s">
        <v>13</v>
      </c>
      <c r="K930" s="14" t="s">
        <v>1265</v>
      </c>
      <c r="L930" s="12" t="s">
        <v>1266</v>
      </c>
      <c r="M930" s="12" t="s">
        <v>11</v>
      </c>
      <c r="N930" s="15" t="s">
        <v>1267</v>
      </c>
      <c r="O930" s="15" t="s">
        <v>15</v>
      </c>
      <c r="P930" s="12" t="s">
        <v>16</v>
      </c>
      <c r="Q930" s="16">
        <v>2958465</v>
      </c>
    </row>
    <row r="931" spans="1:17">
      <c r="A931" s="11">
        <f t="shared" si="14"/>
        <v>930</v>
      </c>
      <c r="B931" s="11">
        <v>8020022807</v>
      </c>
      <c r="C931" s="25" t="s">
        <v>30</v>
      </c>
      <c r="D931" s="27">
        <v>92664</v>
      </c>
      <c r="E931" s="11">
        <v>0.56000000000000005</v>
      </c>
      <c r="F931" s="11" t="s">
        <v>11</v>
      </c>
      <c r="G931" s="44">
        <v>51892</v>
      </c>
      <c r="H931" s="28">
        <v>46749.549549549549</v>
      </c>
      <c r="I931" s="19" t="s">
        <v>12</v>
      </c>
      <c r="J931" s="19" t="s">
        <v>13</v>
      </c>
      <c r="K931" s="32" t="s">
        <v>14</v>
      </c>
      <c r="L931" s="22"/>
      <c r="M931" s="22"/>
      <c r="N931" s="22"/>
      <c r="O931" s="20" t="s">
        <v>15</v>
      </c>
      <c r="P931" s="25" t="s">
        <v>16</v>
      </c>
      <c r="Q931" s="16">
        <v>2958465</v>
      </c>
    </row>
    <row r="932" spans="1:17">
      <c r="A932" s="11">
        <f t="shared" si="14"/>
        <v>931</v>
      </c>
      <c r="B932" s="11">
        <v>8020022808</v>
      </c>
      <c r="C932" s="25" t="s">
        <v>31</v>
      </c>
      <c r="D932" s="27">
        <v>2656</v>
      </c>
      <c r="E932" s="11">
        <v>0.56000000000000005</v>
      </c>
      <c r="F932" s="11" t="s">
        <v>11</v>
      </c>
      <c r="G932" s="44">
        <v>1487</v>
      </c>
      <c r="H932" s="28">
        <v>1339.6396396396394</v>
      </c>
      <c r="I932" s="19" t="s">
        <v>12</v>
      </c>
      <c r="J932" s="19" t="s">
        <v>13</v>
      </c>
      <c r="K932" s="32" t="s">
        <v>14</v>
      </c>
      <c r="L932" s="22"/>
      <c r="M932" s="22"/>
      <c r="N932" s="22"/>
      <c r="O932" s="20" t="s">
        <v>15</v>
      </c>
      <c r="P932" s="25" t="s">
        <v>16</v>
      </c>
      <c r="Q932" s="16">
        <v>2958465</v>
      </c>
    </row>
    <row r="933" spans="1:17">
      <c r="A933" s="11">
        <f t="shared" si="14"/>
        <v>932</v>
      </c>
      <c r="B933" s="11">
        <v>8020022809</v>
      </c>
      <c r="C933" s="25" t="s">
        <v>32</v>
      </c>
      <c r="D933" s="27">
        <v>6984</v>
      </c>
      <c r="E933" s="11">
        <v>0.56000000000000005</v>
      </c>
      <c r="F933" s="11" t="s">
        <v>11</v>
      </c>
      <c r="G933" s="44">
        <v>3911</v>
      </c>
      <c r="H933" s="28">
        <v>3523.4234234234232</v>
      </c>
      <c r="I933" s="19" t="s">
        <v>12</v>
      </c>
      <c r="J933" s="19" t="s">
        <v>13</v>
      </c>
      <c r="K933" s="32" t="s">
        <v>14</v>
      </c>
      <c r="L933" s="22"/>
      <c r="M933" s="22"/>
      <c r="N933" s="22"/>
      <c r="O933" s="20" t="s">
        <v>15</v>
      </c>
      <c r="P933" s="25" t="s">
        <v>16</v>
      </c>
      <c r="Q933" s="16">
        <v>2958465</v>
      </c>
    </row>
    <row r="934" spans="1:17">
      <c r="A934" s="11">
        <f t="shared" si="14"/>
        <v>933</v>
      </c>
      <c r="B934" s="11">
        <v>8020022813</v>
      </c>
      <c r="C934" s="25" t="s">
        <v>33</v>
      </c>
      <c r="D934" s="27">
        <v>13772</v>
      </c>
      <c r="E934" s="11">
        <v>0.56000000000000005</v>
      </c>
      <c r="F934" s="11" t="s">
        <v>11</v>
      </c>
      <c r="G934" s="44">
        <v>7712</v>
      </c>
      <c r="H934" s="28">
        <v>6947.7477477477469</v>
      </c>
      <c r="I934" s="19" t="s">
        <v>12</v>
      </c>
      <c r="J934" s="19" t="s">
        <v>13</v>
      </c>
      <c r="K934" s="32" t="s">
        <v>14</v>
      </c>
      <c r="L934" s="22"/>
      <c r="M934" s="22"/>
      <c r="N934" s="22"/>
      <c r="O934" s="20" t="s">
        <v>15</v>
      </c>
      <c r="P934" s="25" t="s">
        <v>16</v>
      </c>
      <c r="Q934" s="16">
        <v>2958465</v>
      </c>
    </row>
    <row r="935" spans="1:17">
      <c r="A935" s="11">
        <f t="shared" si="14"/>
        <v>934</v>
      </c>
      <c r="B935" s="11">
        <v>8020022814</v>
      </c>
      <c r="C935" s="25" t="s">
        <v>52</v>
      </c>
      <c r="D935" s="27">
        <v>7552</v>
      </c>
      <c r="E935" s="11">
        <v>0.56000000000000005</v>
      </c>
      <c r="F935" s="11" t="s">
        <v>11</v>
      </c>
      <c r="G935" s="44">
        <v>4229</v>
      </c>
      <c r="H935" s="28">
        <v>3809.9099099099094</v>
      </c>
      <c r="I935" s="19" t="s">
        <v>12</v>
      </c>
      <c r="J935" s="19" t="s">
        <v>13</v>
      </c>
      <c r="K935" s="32" t="s">
        <v>14</v>
      </c>
      <c r="L935" s="22"/>
      <c r="M935" s="22"/>
      <c r="N935" s="22"/>
      <c r="O935" s="20" t="s">
        <v>15</v>
      </c>
      <c r="P935" s="25" t="s">
        <v>16</v>
      </c>
      <c r="Q935" s="16">
        <v>2958465</v>
      </c>
    </row>
    <row r="936" spans="1:17">
      <c r="A936" s="11">
        <f t="shared" si="14"/>
        <v>935</v>
      </c>
      <c r="B936" s="11">
        <v>8020022815</v>
      </c>
      <c r="C936" s="25" t="s">
        <v>53</v>
      </c>
      <c r="D936" s="27">
        <v>36220</v>
      </c>
      <c r="E936" s="11">
        <v>0.56000000000000005</v>
      </c>
      <c r="F936" s="11" t="s">
        <v>11</v>
      </c>
      <c r="G936" s="44">
        <v>20283</v>
      </c>
      <c r="H936" s="28">
        <v>18272.97297297297</v>
      </c>
      <c r="I936" s="19" t="s">
        <v>12</v>
      </c>
      <c r="J936" s="19" t="s">
        <v>13</v>
      </c>
      <c r="K936" s="32" t="s">
        <v>14</v>
      </c>
      <c r="L936" s="22"/>
      <c r="M936" s="22"/>
      <c r="N936" s="22"/>
      <c r="O936" s="20" t="s">
        <v>15</v>
      </c>
      <c r="P936" s="25" t="s">
        <v>16</v>
      </c>
      <c r="Q936" s="16">
        <v>2958465</v>
      </c>
    </row>
    <row r="937" spans="1:17">
      <c r="A937" s="11">
        <f t="shared" si="14"/>
        <v>936</v>
      </c>
      <c r="B937" s="11">
        <v>8020022821</v>
      </c>
      <c r="C937" s="25" t="s">
        <v>54</v>
      </c>
      <c r="D937" s="27">
        <v>29511</v>
      </c>
      <c r="E937" s="11">
        <v>0.56000000000000005</v>
      </c>
      <c r="F937" s="11" t="s">
        <v>11</v>
      </c>
      <c r="G937" s="44">
        <v>16526</v>
      </c>
      <c r="H937" s="28">
        <v>14888.288288288288</v>
      </c>
      <c r="I937" s="19" t="s">
        <v>12</v>
      </c>
      <c r="J937" s="19" t="s">
        <v>13</v>
      </c>
      <c r="K937" s="32" t="s">
        <v>14</v>
      </c>
      <c r="L937" s="22"/>
      <c r="M937" s="22"/>
      <c r="N937" s="22"/>
      <c r="O937" s="20" t="s">
        <v>15</v>
      </c>
      <c r="P937" s="25" t="s">
        <v>16</v>
      </c>
      <c r="Q937" s="16">
        <v>2958465</v>
      </c>
    </row>
    <row r="938" spans="1:17">
      <c r="A938" s="11">
        <f t="shared" si="14"/>
        <v>937</v>
      </c>
      <c r="B938" s="12">
        <v>8020022822</v>
      </c>
      <c r="C938" s="30" t="s">
        <v>1301</v>
      </c>
      <c r="D938" s="30"/>
      <c r="E938" s="30"/>
      <c r="F938" s="30"/>
      <c r="G938" s="43">
        <v>3447</v>
      </c>
      <c r="H938" s="31">
        <v>3105.405405405405</v>
      </c>
      <c r="I938" s="13" t="s">
        <v>12</v>
      </c>
      <c r="J938" s="13" t="s">
        <v>13</v>
      </c>
      <c r="K938" s="14" t="s">
        <v>1265</v>
      </c>
      <c r="L938" s="12" t="s">
        <v>1266</v>
      </c>
      <c r="M938" s="12" t="s">
        <v>11</v>
      </c>
      <c r="N938" s="15" t="s">
        <v>1267</v>
      </c>
      <c r="O938" s="15" t="s">
        <v>15</v>
      </c>
      <c r="P938" s="12" t="s">
        <v>16</v>
      </c>
      <c r="Q938" s="16">
        <v>2958465</v>
      </c>
    </row>
    <row r="939" spans="1:17">
      <c r="A939" s="11">
        <f t="shared" si="14"/>
        <v>938</v>
      </c>
      <c r="B939" s="11">
        <v>8020022823</v>
      </c>
      <c r="C939" s="25" t="s">
        <v>55</v>
      </c>
      <c r="D939" s="27">
        <v>30865</v>
      </c>
      <c r="E939" s="11">
        <v>0.56000000000000005</v>
      </c>
      <c r="F939" s="11" t="s">
        <v>11</v>
      </c>
      <c r="G939" s="44">
        <v>17284</v>
      </c>
      <c r="H939" s="28">
        <v>15571.17117117117</v>
      </c>
      <c r="I939" s="19" t="s">
        <v>12</v>
      </c>
      <c r="J939" s="19" t="s">
        <v>13</v>
      </c>
      <c r="K939" s="32" t="s">
        <v>14</v>
      </c>
      <c r="L939" s="22"/>
      <c r="M939" s="22"/>
      <c r="N939" s="22"/>
      <c r="O939" s="20" t="s">
        <v>15</v>
      </c>
      <c r="P939" s="25" t="s">
        <v>16</v>
      </c>
      <c r="Q939" s="16">
        <v>2958465</v>
      </c>
    </row>
    <row r="940" spans="1:17">
      <c r="A940" s="11">
        <f t="shared" si="14"/>
        <v>939</v>
      </c>
      <c r="B940" s="11">
        <v>8020022824</v>
      </c>
      <c r="C940" s="25" t="s">
        <v>56</v>
      </c>
      <c r="D940" s="27">
        <v>96490</v>
      </c>
      <c r="E940" s="11">
        <v>0.56000000000000005</v>
      </c>
      <c r="F940" s="11" t="s">
        <v>11</v>
      </c>
      <c r="G940" s="44">
        <v>54034</v>
      </c>
      <c r="H940" s="28">
        <v>48679.279279279275</v>
      </c>
      <c r="I940" s="19" t="s">
        <v>12</v>
      </c>
      <c r="J940" s="19" t="s">
        <v>13</v>
      </c>
      <c r="K940" s="32" t="s">
        <v>14</v>
      </c>
      <c r="L940" s="22"/>
      <c r="M940" s="22"/>
      <c r="N940" s="22"/>
      <c r="O940" s="20" t="s">
        <v>15</v>
      </c>
      <c r="P940" s="25" t="s">
        <v>16</v>
      </c>
      <c r="Q940" s="16">
        <v>2958465</v>
      </c>
    </row>
    <row r="941" spans="1:17">
      <c r="A941" s="11">
        <f t="shared" si="14"/>
        <v>940</v>
      </c>
      <c r="B941" s="11">
        <v>8020022846</v>
      </c>
      <c r="C941" s="25" t="s">
        <v>57</v>
      </c>
      <c r="D941" s="27">
        <v>24148</v>
      </c>
      <c r="E941" s="11">
        <v>0.56000000000000005</v>
      </c>
      <c r="F941" s="11" t="s">
        <v>11</v>
      </c>
      <c r="G941" s="44">
        <v>13523</v>
      </c>
      <c r="H941" s="28">
        <v>12182.882882882881</v>
      </c>
      <c r="I941" s="19" t="s">
        <v>12</v>
      </c>
      <c r="J941" s="19" t="s">
        <v>13</v>
      </c>
      <c r="K941" s="32" t="s">
        <v>14</v>
      </c>
      <c r="L941" s="22"/>
      <c r="M941" s="22"/>
      <c r="N941" s="22"/>
      <c r="O941" s="20" t="s">
        <v>15</v>
      </c>
      <c r="P941" s="25" t="s">
        <v>16</v>
      </c>
      <c r="Q941" s="16">
        <v>2958465</v>
      </c>
    </row>
    <row r="942" spans="1:17">
      <c r="A942" s="11">
        <f t="shared" si="14"/>
        <v>941</v>
      </c>
      <c r="B942" s="11">
        <v>8020022847</v>
      </c>
      <c r="C942" s="25" t="s">
        <v>58</v>
      </c>
      <c r="D942" s="27">
        <v>98924</v>
      </c>
      <c r="E942" s="11">
        <v>0.56000000000000005</v>
      </c>
      <c r="F942" s="11" t="s">
        <v>11</v>
      </c>
      <c r="G942" s="44">
        <v>55397</v>
      </c>
      <c r="H942" s="28">
        <v>49907.207207207204</v>
      </c>
      <c r="I942" s="19" t="s">
        <v>12</v>
      </c>
      <c r="J942" s="19" t="s">
        <v>13</v>
      </c>
      <c r="K942" s="32" t="s">
        <v>14</v>
      </c>
      <c r="L942" s="22"/>
      <c r="M942" s="22"/>
      <c r="N942" s="22"/>
      <c r="O942" s="20" t="s">
        <v>15</v>
      </c>
      <c r="P942" s="25" t="s">
        <v>16</v>
      </c>
      <c r="Q942" s="16">
        <v>2958465</v>
      </c>
    </row>
    <row r="943" spans="1:17">
      <c r="A943" s="11">
        <f t="shared" si="14"/>
        <v>942</v>
      </c>
      <c r="B943" s="11">
        <v>8020022875</v>
      </c>
      <c r="C943" s="25" t="s">
        <v>264</v>
      </c>
      <c r="D943" s="27">
        <v>2643</v>
      </c>
      <c r="E943" s="11">
        <v>0.56000000000000005</v>
      </c>
      <c r="F943" s="11" t="s">
        <v>11</v>
      </c>
      <c r="G943" s="44">
        <v>1480</v>
      </c>
      <c r="H943" s="28">
        <v>1333.3333333333333</v>
      </c>
      <c r="I943" s="19" t="s">
        <v>12</v>
      </c>
      <c r="J943" s="19" t="s">
        <v>13</v>
      </c>
      <c r="K943" s="32" t="s">
        <v>265</v>
      </c>
      <c r="L943" s="22"/>
      <c r="M943" s="22"/>
      <c r="N943" s="22"/>
      <c r="O943" s="20" t="s">
        <v>15</v>
      </c>
      <c r="P943" s="25" t="s">
        <v>16</v>
      </c>
      <c r="Q943" s="16">
        <v>2958465</v>
      </c>
    </row>
    <row r="944" spans="1:17">
      <c r="A944" s="11">
        <f t="shared" si="14"/>
        <v>943</v>
      </c>
      <c r="B944" s="11">
        <v>8020022881</v>
      </c>
      <c r="C944" s="25" t="s">
        <v>59</v>
      </c>
      <c r="D944" s="27">
        <v>195362</v>
      </c>
      <c r="E944" s="11">
        <v>0.56000000000000005</v>
      </c>
      <c r="F944" s="11" t="s">
        <v>11</v>
      </c>
      <c r="G944" s="44">
        <v>109403</v>
      </c>
      <c r="H944" s="28">
        <v>98561.261261261257</v>
      </c>
      <c r="I944" s="19" t="s">
        <v>12</v>
      </c>
      <c r="J944" s="19" t="s">
        <v>13</v>
      </c>
      <c r="K944" s="32" t="s">
        <v>14</v>
      </c>
      <c r="L944" s="22"/>
      <c r="M944" s="22"/>
      <c r="N944" s="22"/>
      <c r="O944" s="20" t="s">
        <v>15</v>
      </c>
      <c r="P944" s="25" t="s">
        <v>16</v>
      </c>
      <c r="Q944" s="16">
        <v>2958465</v>
      </c>
    </row>
    <row r="945" spans="1:18">
      <c r="A945" s="11">
        <f t="shared" si="14"/>
        <v>944</v>
      </c>
      <c r="B945" s="11">
        <v>8020022917</v>
      </c>
      <c r="C945" s="25" t="s">
        <v>60</v>
      </c>
      <c r="D945" s="27">
        <v>16133</v>
      </c>
      <c r="E945" s="11">
        <v>0.56000000000000005</v>
      </c>
      <c r="F945" s="11" t="s">
        <v>11</v>
      </c>
      <c r="G945" s="44">
        <v>9034</v>
      </c>
      <c r="H945" s="28">
        <v>8138.738738738738</v>
      </c>
      <c r="I945" s="19" t="s">
        <v>12</v>
      </c>
      <c r="J945" s="19" t="s">
        <v>13</v>
      </c>
      <c r="K945" s="32" t="s">
        <v>14</v>
      </c>
      <c r="L945" s="22"/>
      <c r="M945" s="22"/>
      <c r="N945" s="22"/>
      <c r="O945" s="20" t="s">
        <v>15</v>
      </c>
      <c r="P945" s="25" t="s">
        <v>16</v>
      </c>
      <c r="Q945" s="16">
        <v>2958465</v>
      </c>
    </row>
    <row r="946" spans="1:18">
      <c r="A946" s="11">
        <f t="shared" si="14"/>
        <v>945</v>
      </c>
      <c r="B946" s="11">
        <v>8020022940</v>
      </c>
      <c r="C946" s="25" t="s">
        <v>61</v>
      </c>
      <c r="D946" s="27">
        <v>24101</v>
      </c>
      <c r="E946" s="11">
        <v>0.56000000000000005</v>
      </c>
      <c r="F946" s="11" t="s">
        <v>11</v>
      </c>
      <c r="G946" s="44">
        <v>13497</v>
      </c>
      <c r="H946" s="28">
        <v>12159.459459459458</v>
      </c>
      <c r="I946" s="19" t="s">
        <v>12</v>
      </c>
      <c r="J946" s="19" t="s">
        <v>13</v>
      </c>
      <c r="K946" s="32" t="s">
        <v>14</v>
      </c>
      <c r="L946" s="22"/>
      <c r="M946" s="22"/>
      <c r="N946" s="22"/>
      <c r="O946" s="20" t="s">
        <v>15</v>
      </c>
      <c r="P946" s="25" t="s">
        <v>16</v>
      </c>
      <c r="Q946" s="16">
        <v>2958465</v>
      </c>
    </row>
    <row r="947" spans="1:18">
      <c r="A947" s="11">
        <f t="shared" si="14"/>
        <v>946</v>
      </c>
      <c r="B947" s="11">
        <v>8020023215</v>
      </c>
      <c r="C947" s="25" t="s">
        <v>266</v>
      </c>
      <c r="D947" s="27">
        <v>6993</v>
      </c>
      <c r="E947" s="11">
        <v>0.56000000000000005</v>
      </c>
      <c r="F947" s="11" t="s">
        <v>11</v>
      </c>
      <c r="G947" s="44">
        <v>3916</v>
      </c>
      <c r="H947" s="28">
        <v>3527.9279279279276</v>
      </c>
      <c r="I947" s="19" t="s">
        <v>12</v>
      </c>
      <c r="J947" s="19" t="s">
        <v>13</v>
      </c>
      <c r="K947" s="32" t="s">
        <v>265</v>
      </c>
      <c r="L947" s="22"/>
      <c r="M947" s="22"/>
      <c r="N947" s="22"/>
      <c r="O947" s="20" t="s">
        <v>15</v>
      </c>
      <c r="P947" s="25" t="s">
        <v>16</v>
      </c>
      <c r="Q947" s="16">
        <v>2958465</v>
      </c>
    </row>
    <row r="948" spans="1:18">
      <c r="A948" s="11">
        <f t="shared" si="14"/>
        <v>947</v>
      </c>
      <c r="B948" s="11">
        <v>8020025899</v>
      </c>
      <c r="C948" s="25" t="s">
        <v>1229</v>
      </c>
      <c r="D948" s="27">
        <v>226467</v>
      </c>
      <c r="E948" s="11">
        <v>0.56000000000000005</v>
      </c>
      <c r="F948" s="11" t="s">
        <v>11</v>
      </c>
      <c r="G948" s="44">
        <v>126822</v>
      </c>
      <c r="H948" s="28">
        <v>114254.05405405404</v>
      </c>
      <c r="I948" s="19" t="s">
        <v>12</v>
      </c>
      <c r="J948" s="19" t="s">
        <v>13</v>
      </c>
      <c r="K948" s="32" t="s">
        <v>14</v>
      </c>
      <c r="L948" s="22"/>
      <c r="M948" s="22"/>
      <c r="N948" s="22"/>
      <c r="O948" s="22" t="s">
        <v>15</v>
      </c>
      <c r="P948" s="25" t="s">
        <v>1211</v>
      </c>
      <c r="Q948" s="16">
        <v>2958465</v>
      </c>
      <c r="R948" s="24"/>
    </row>
    <row r="949" spans="1:18">
      <c r="A949" s="11">
        <f t="shared" si="14"/>
        <v>948</v>
      </c>
      <c r="B949" s="11">
        <v>8020026063</v>
      </c>
      <c r="C949" s="25" t="s">
        <v>1230</v>
      </c>
      <c r="D949" s="27">
        <v>77364</v>
      </c>
      <c r="E949" s="11">
        <v>0.56000000000000005</v>
      </c>
      <c r="F949" s="11" t="s">
        <v>11</v>
      </c>
      <c r="G949" s="44">
        <v>43324</v>
      </c>
      <c r="H949" s="28">
        <v>39030.630630630629</v>
      </c>
      <c r="I949" s="19" t="s">
        <v>12</v>
      </c>
      <c r="J949" s="19" t="s">
        <v>13</v>
      </c>
      <c r="K949" s="32" t="s">
        <v>14</v>
      </c>
      <c r="L949" s="22"/>
      <c r="M949" s="22"/>
      <c r="N949" s="22"/>
      <c r="O949" s="22" t="s">
        <v>15</v>
      </c>
      <c r="P949" s="25" t="s">
        <v>1211</v>
      </c>
      <c r="Q949" s="16">
        <v>2958465</v>
      </c>
      <c r="R949" s="24"/>
    </row>
    <row r="950" spans="1:18">
      <c r="A950" s="11">
        <f t="shared" si="14"/>
        <v>949</v>
      </c>
      <c r="B950" s="11">
        <v>8020026064</v>
      </c>
      <c r="C950" s="25" t="s">
        <v>1231</v>
      </c>
      <c r="D950" s="27">
        <v>104105</v>
      </c>
      <c r="E950" s="11">
        <v>0.56000000000000005</v>
      </c>
      <c r="F950" s="11" t="s">
        <v>11</v>
      </c>
      <c r="G950" s="44">
        <v>58299</v>
      </c>
      <c r="H950" s="28">
        <v>52521.62162162162</v>
      </c>
      <c r="I950" s="19" t="s">
        <v>12</v>
      </c>
      <c r="J950" s="19" t="s">
        <v>13</v>
      </c>
      <c r="K950" s="32" t="s">
        <v>14</v>
      </c>
      <c r="L950" s="22"/>
      <c r="M950" s="22"/>
      <c r="N950" s="22"/>
      <c r="O950" s="22" t="s">
        <v>15</v>
      </c>
      <c r="P950" s="25" t="s">
        <v>1211</v>
      </c>
      <c r="Q950" s="16">
        <v>2958465</v>
      </c>
      <c r="R950" s="24"/>
    </row>
    <row r="951" spans="1:18">
      <c r="A951" s="11">
        <f t="shared" si="14"/>
        <v>950</v>
      </c>
      <c r="B951" s="11">
        <v>8020026126</v>
      </c>
      <c r="C951" s="25" t="s">
        <v>1232</v>
      </c>
      <c r="D951" s="27">
        <v>48353</v>
      </c>
      <c r="E951" s="11">
        <v>0.56000000000000005</v>
      </c>
      <c r="F951" s="11" t="s">
        <v>11</v>
      </c>
      <c r="G951" s="44">
        <v>27078</v>
      </c>
      <c r="H951" s="28">
        <v>24394.594594594593</v>
      </c>
      <c r="I951" s="19" t="s">
        <v>12</v>
      </c>
      <c r="J951" s="19" t="s">
        <v>13</v>
      </c>
      <c r="K951" s="32" t="s">
        <v>14</v>
      </c>
      <c r="L951" s="22"/>
      <c r="M951" s="22"/>
      <c r="N951" s="22"/>
      <c r="O951" s="22" t="s">
        <v>15</v>
      </c>
      <c r="P951" s="25" t="s">
        <v>1211</v>
      </c>
      <c r="Q951" s="16">
        <v>2958465</v>
      </c>
      <c r="R951" s="24"/>
    </row>
    <row r="952" spans="1:18">
      <c r="A952" s="11">
        <f t="shared" si="14"/>
        <v>951</v>
      </c>
      <c r="B952" s="11">
        <v>8020026127</v>
      </c>
      <c r="C952" s="25" t="s">
        <v>1233</v>
      </c>
      <c r="D952" s="27">
        <v>168245</v>
      </c>
      <c r="E952" s="11">
        <v>0.56000000000000005</v>
      </c>
      <c r="F952" s="11" t="s">
        <v>11</v>
      </c>
      <c r="G952" s="44">
        <v>94217</v>
      </c>
      <c r="H952" s="28">
        <v>84880.180180180178</v>
      </c>
      <c r="I952" s="19" t="s">
        <v>12</v>
      </c>
      <c r="J952" s="19" t="s">
        <v>13</v>
      </c>
      <c r="K952" s="32" t="s">
        <v>14</v>
      </c>
      <c r="L952" s="22"/>
      <c r="M952" s="22"/>
      <c r="N952" s="22"/>
      <c r="O952" s="22" t="s">
        <v>15</v>
      </c>
      <c r="P952" s="25" t="s">
        <v>1211</v>
      </c>
      <c r="Q952" s="16">
        <v>2958465</v>
      </c>
      <c r="R952" s="24"/>
    </row>
    <row r="953" spans="1:18">
      <c r="A953" s="11">
        <f t="shared" si="14"/>
        <v>952</v>
      </c>
      <c r="B953" s="11">
        <v>8020026128</v>
      </c>
      <c r="C953" s="25" t="s">
        <v>1234</v>
      </c>
      <c r="D953" s="27">
        <v>66608</v>
      </c>
      <c r="E953" s="11">
        <v>0.56000000000000005</v>
      </c>
      <c r="F953" s="11" t="s">
        <v>11</v>
      </c>
      <c r="G953" s="44">
        <v>37300</v>
      </c>
      <c r="H953" s="28">
        <v>33603.603603603602</v>
      </c>
      <c r="I953" s="19" t="s">
        <v>12</v>
      </c>
      <c r="J953" s="19" t="s">
        <v>13</v>
      </c>
      <c r="K953" s="32" t="s">
        <v>14</v>
      </c>
      <c r="L953" s="22"/>
      <c r="M953" s="22"/>
      <c r="N953" s="22"/>
      <c r="O953" s="22" t="s">
        <v>15</v>
      </c>
      <c r="P953" s="25" t="s">
        <v>1211</v>
      </c>
      <c r="Q953" s="16">
        <v>2958465</v>
      </c>
      <c r="R953" s="24"/>
    </row>
    <row r="954" spans="1:18">
      <c r="A954" s="11">
        <f t="shared" si="14"/>
        <v>953</v>
      </c>
      <c r="B954" s="11">
        <v>8020026129</v>
      </c>
      <c r="C954" s="25" t="s">
        <v>1235</v>
      </c>
      <c r="D954" s="27">
        <v>157885</v>
      </c>
      <c r="E954" s="11">
        <v>0.56000000000000005</v>
      </c>
      <c r="F954" s="11" t="s">
        <v>11</v>
      </c>
      <c r="G954" s="44">
        <v>88416</v>
      </c>
      <c r="H954" s="28">
        <v>79654.054054054053</v>
      </c>
      <c r="I954" s="19" t="s">
        <v>12</v>
      </c>
      <c r="J954" s="19" t="s">
        <v>13</v>
      </c>
      <c r="K954" s="32" t="s">
        <v>14</v>
      </c>
      <c r="L954" s="22"/>
      <c r="M954" s="22"/>
      <c r="N954" s="22"/>
      <c r="O954" s="22" t="s">
        <v>15</v>
      </c>
      <c r="P954" s="25" t="s">
        <v>1211</v>
      </c>
      <c r="Q954" s="16">
        <v>2958465</v>
      </c>
      <c r="R954" s="24"/>
    </row>
    <row r="955" spans="1:18">
      <c r="A955" s="11">
        <f t="shared" si="14"/>
        <v>954</v>
      </c>
      <c r="B955" s="11">
        <v>8020026141</v>
      </c>
      <c r="C955" s="25" t="s">
        <v>1236</v>
      </c>
      <c r="D955" s="27">
        <v>112985</v>
      </c>
      <c r="E955" s="11">
        <v>0.56000000000000005</v>
      </c>
      <c r="F955" s="11" t="s">
        <v>11</v>
      </c>
      <c r="G955" s="44">
        <v>63272</v>
      </c>
      <c r="H955" s="28">
        <v>57001.801801801797</v>
      </c>
      <c r="I955" s="19" t="s">
        <v>12</v>
      </c>
      <c r="J955" s="19" t="s">
        <v>13</v>
      </c>
      <c r="K955" s="32" t="s">
        <v>14</v>
      </c>
      <c r="L955" s="22"/>
      <c r="M955" s="22"/>
      <c r="N955" s="22"/>
      <c r="O955" s="22" t="s">
        <v>15</v>
      </c>
      <c r="P955" s="25" t="s">
        <v>1211</v>
      </c>
      <c r="Q955" s="16">
        <v>2958465</v>
      </c>
      <c r="R955" s="24"/>
    </row>
    <row r="956" spans="1:18">
      <c r="A956" s="11">
        <f t="shared" si="14"/>
        <v>955</v>
      </c>
      <c r="B956" s="11">
        <v>8020026142</v>
      </c>
      <c r="C956" s="25" t="s">
        <v>1237</v>
      </c>
      <c r="D956" s="27">
        <v>245215</v>
      </c>
      <c r="E956" s="11">
        <v>0.56000000000000005</v>
      </c>
      <c r="F956" s="11" t="s">
        <v>11</v>
      </c>
      <c r="G956" s="44">
        <v>137320</v>
      </c>
      <c r="H956" s="28">
        <v>123711.7117117117</v>
      </c>
      <c r="I956" s="19" t="s">
        <v>12</v>
      </c>
      <c r="J956" s="19" t="s">
        <v>13</v>
      </c>
      <c r="K956" s="32" t="s">
        <v>14</v>
      </c>
      <c r="L956" s="22"/>
      <c r="M956" s="22"/>
      <c r="N956" s="22"/>
      <c r="O956" s="22" t="s">
        <v>15</v>
      </c>
      <c r="P956" s="25" t="s">
        <v>1211</v>
      </c>
      <c r="Q956" s="16">
        <v>2958465</v>
      </c>
      <c r="R956" s="24"/>
    </row>
    <row r="957" spans="1:18">
      <c r="A957" s="11">
        <f t="shared" si="14"/>
        <v>956</v>
      </c>
      <c r="B957" s="11">
        <v>8020026143</v>
      </c>
      <c r="C957" s="25" t="s">
        <v>1238</v>
      </c>
      <c r="D957" s="27">
        <v>380403</v>
      </c>
      <c r="E957" s="11">
        <v>0.56000000000000005</v>
      </c>
      <c r="F957" s="11" t="s">
        <v>11</v>
      </c>
      <c r="G957" s="44">
        <v>213026</v>
      </c>
      <c r="H957" s="28">
        <v>191915.3153153153</v>
      </c>
      <c r="I957" s="19" t="s">
        <v>12</v>
      </c>
      <c r="J957" s="19" t="s">
        <v>13</v>
      </c>
      <c r="K957" s="32" t="s">
        <v>14</v>
      </c>
      <c r="L957" s="22"/>
      <c r="M957" s="22"/>
      <c r="N957" s="22"/>
      <c r="O957" s="22" t="s">
        <v>15</v>
      </c>
      <c r="P957" s="25" t="s">
        <v>1211</v>
      </c>
      <c r="Q957" s="16">
        <v>2958465</v>
      </c>
      <c r="R957" s="24"/>
    </row>
    <row r="958" spans="1:18">
      <c r="A958" s="11">
        <f t="shared" si="14"/>
        <v>957</v>
      </c>
      <c r="B958" s="11">
        <v>8020026144</v>
      </c>
      <c r="C958" s="25" t="s">
        <v>1239</v>
      </c>
      <c r="D958" s="27">
        <v>219559</v>
      </c>
      <c r="E958" s="11">
        <v>0.56000000000000005</v>
      </c>
      <c r="F958" s="11" t="s">
        <v>11</v>
      </c>
      <c r="G958" s="44">
        <v>122953</v>
      </c>
      <c r="H958" s="28">
        <v>110768.46846846846</v>
      </c>
      <c r="I958" s="19" t="s">
        <v>12</v>
      </c>
      <c r="J958" s="19" t="s">
        <v>13</v>
      </c>
      <c r="K958" s="32" t="s">
        <v>14</v>
      </c>
      <c r="L958" s="22"/>
      <c r="M958" s="22"/>
      <c r="N958" s="22"/>
      <c r="O958" s="22" t="s">
        <v>15</v>
      </c>
      <c r="P958" s="25" t="s">
        <v>1211</v>
      </c>
      <c r="Q958" s="16">
        <v>2958465</v>
      </c>
      <c r="R958" s="24"/>
    </row>
    <row r="959" spans="1:18">
      <c r="A959" s="11">
        <f t="shared" si="14"/>
        <v>958</v>
      </c>
      <c r="B959" s="11">
        <v>8020026145</v>
      </c>
      <c r="C959" s="25" t="s">
        <v>1240</v>
      </c>
      <c r="D959" s="27">
        <v>316756</v>
      </c>
      <c r="E959" s="11">
        <v>0.56000000000000005</v>
      </c>
      <c r="F959" s="11" t="s">
        <v>11</v>
      </c>
      <c r="G959" s="44">
        <v>177383</v>
      </c>
      <c r="H959" s="28">
        <v>159804.5045045045</v>
      </c>
      <c r="I959" s="19" t="s">
        <v>12</v>
      </c>
      <c r="J959" s="19" t="s">
        <v>13</v>
      </c>
      <c r="K959" s="32" t="s">
        <v>14</v>
      </c>
      <c r="L959" s="22"/>
      <c r="M959" s="22"/>
      <c r="N959" s="22"/>
      <c r="O959" s="22" t="s">
        <v>15</v>
      </c>
      <c r="P959" s="25" t="s">
        <v>1211</v>
      </c>
      <c r="Q959" s="16">
        <v>2958465</v>
      </c>
      <c r="R959" s="24"/>
    </row>
    <row r="960" spans="1:18">
      <c r="A960" s="11">
        <f t="shared" si="14"/>
        <v>959</v>
      </c>
      <c r="B960" s="11">
        <v>8020026146</v>
      </c>
      <c r="C960" s="25" t="s">
        <v>1241</v>
      </c>
      <c r="D960" s="27">
        <v>468720</v>
      </c>
      <c r="E960" s="11">
        <v>0.56000000000000005</v>
      </c>
      <c r="F960" s="11" t="s">
        <v>11</v>
      </c>
      <c r="G960" s="44">
        <v>262483</v>
      </c>
      <c r="H960" s="28">
        <v>236471.17117117115</v>
      </c>
      <c r="I960" s="19" t="s">
        <v>12</v>
      </c>
      <c r="J960" s="19" t="s">
        <v>13</v>
      </c>
      <c r="K960" s="32" t="s">
        <v>14</v>
      </c>
      <c r="L960" s="22"/>
      <c r="M960" s="22"/>
      <c r="N960" s="22"/>
      <c r="O960" s="22" t="s">
        <v>15</v>
      </c>
      <c r="P960" s="25" t="s">
        <v>1211</v>
      </c>
      <c r="Q960" s="16">
        <v>2958465</v>
      </c>
      <c r="R960" s="24"/>
    </row>
    <row r="961" spans="1:18">
      <c r="A961" s="11">
        <f t="shared" si="14"/>
        <v>960</v>
      </c>
      <c r="B961" s="11">
        <v>8020026147</v>
      </c>
      <c r="C961" s="25" t="s">
        <v>1242</v>
      </c>
      <c r="D961" s="27">
        <v>266430</v>
      </c>
      <c r="E961" s="11">
        <v>0.56000000000000005</v>
      </c>
      <c r="F961" s="11" t="s">
        <v>11</v>
      </c>
      <c r="G961" s="44">
        <v>149201</v>
      </c>
      <c r="H961" s="28">
        <v>134415.3153153153</v>
      </c>
      <c r="I961" s="19" t="s">
        <v>12</v>
      </c>
      <c r="J961" s="19" t="s">
        <v>13</v>
      </c>
      <c r="K961" s="32" t="s">
        <v>14</v>
      </c>
      <c r="L961" s="22"/>
      <c r="M961" s="22"/>
      <c r="N961" s="22"/>
      <c r="O961" s="22" t="s">
        <v>15</v>
      </c>
      <c r="P961" s="25" t="s">
        <v>1211</v>
      </c>
      <c r="Q961" s="16">
        <v>2958465</v>
      </c>
      <c r="R961" s="24"/>
    </row>
    <row r="962" spans="1:18">
      <c r="A962" s="11">
        <f t="shared" si="14"/>
        <v>961</v>
      </c>
      <c r="B962" s="11">
        <v>8020026148</v>
      </c>
      <c r="C962" s="25" t="s">
        <v>1243</v>
      </c>
      <c r="D962" s="27">
        <v>424808</v>
      </c>
      <c r="E962" s="11">
        <v>0.56000000000000005</v>
      </c>
      <c r="F962" s="11" t="s">
        <v>11</v>
      </c>
      <c r="G962" s="44">
        <v>237892</v>
      </c>
      <c r="H962" s="28">
        <v>214317.1171171171</v>
      </c>
      <c r="I962" s="19" t="s">
        <v>12</v>
      </c>
      <c r="J962" s="19" t="s">
        <v>13</v>
      </c>
      <c r="K962" s="32" t="s">
        <v>14</v>
      </c>
      <c r="L962" s="22"/>
      <c r="M962" s="22"/>
      <c r="N962" s="22"/>
      <c r="O962" s="22" t="s">
        <v>15</v>
      </c>
      <c r="P962" s="25" t="s">
        <v>1211</v>
      </c>
      <c r="Q962" s="16">
        <v>2958465</v>
      </c>
      <c r="R962" s="24"/>
    </row>
    <row r="963" spans="1:18">
      <c r="A963" s="11">
        <f t="shared" si="14"/>
        <v>962</v>
      </c>
      <c r="B963" s="11">
        <v>8020026149</v>
      </c>
      <c r="C963" s="25" t="s">
        <v>1244</v>
      </c>
      <c r="D963" s="27">
        <v>363136</v>
      </c>
      <c r="E963" s="11">
        <v>0.56000000000000005</v>
      </c>
      <c r="F963" s="11" t="s">
        <v>11</v>
      </c>
      <c r="G963" s="44">
        <v>203356</v>
      </c>
      <c r="H963" s="28">
        <v>183203.60360360358</v>
      </c>
      <c r="I963" s="19" t="s">
        <v>12</v>
      </c>
      <c r="J963" s="19" t="s">
        <v>13</v>
      </c>
      <c r="K963" s="32" t="s">
        <v>14</v>
      </c>
      <c r="L963" s="22"/>
      <c r="M963" s="22"/>
      <c r="N963" s="22"/>
      <c r="O963" s="22" t="s">
        <v>15</v>
      </c>
      <c r="P963" s="25" t="s">
        <v>1211</v>
      </c>
      <c r="Q963" s="16">
        <v>2958465</v>
      </c>
      <c r="R963" s="24"/>
    </row>
    <row r="964" spans="1:18">
      <c r="A964" s="11">
        <f t="shared" si="14"/>
        <v>963</v>
      </c>
      <c r="B964" s="11">
        <v>8020026150</v>
      </c>
      <c r="C964" s="25" t="s">
        <v>1245</v>
      </c>
      <c r="D964" s="27">
        <v>540755</v>
      </c>
      <c r="E964" s="11">
        <v>0.56000000000000005</v>
      </c>
      <c r="F964" s="11" t="s">
        <v>11</v>
      </c>
      <c r="G964" s="44">
        <v>302823</v>
      </c>
      <c r="H964" s="28">
        <v>272813.51351351349</v>
      </c>
      <c r="I964" s="19" t="s">
        <v>12</v>
      </c>
      <c r="J964" s="19" t="s">
        <v>13</v>
      </c>
      <c r="K964" s="32" t="s">
        <v>14</v>
      </c>
      <c r="L964" s="22"/>
      <c r="M964" s="22"/>
      <c r="N964" s="22"/>
      <c r="O964" s="22" t="s">
        <v>15</v>
      </c>
      <c r="P964" s="25" t="s">
        <v>1211</v>
      </c>
      <c r="Q964" s="16">
        <v>2958465</v>
      </c>
      <c r="R964" s="24"/>
    </row>
    <row r="965" spans="1:18">
      <c r="A965" s="11">
        <f t="shared" ref="A965:A1028" si="15">ROW()-1</f>
        <v>964</v>
      </c>
      <c r="B965" s="11">
        <v>8020026151</v>
      </c>
      <c r="C965" s="25" t="s">
        <v>1246</v>
      </c>
      <c r="D965" s="27">
        <v>222025</v>
      </c>
      <c r="E965" s="11">
        <v>0.56000000000000005</v>
      </c>
      <c r="F965" s="11" t="s">
        <v>11</v>
      </c>
      <c r="G965" s="44">
        <v>124334</v>
      </c>
      <c r="H965" s="28">
        <v>112012.6126126126</v>
      </c>
      <c r="I965" s="19" t="s">
        <v>12</v>
      </c>
      <c r="J965" s="19" t="s">
        <v>13</v>
      </c>
      <c r="K965" s="32" t="s">
        <v>14</v>
      </c>
      <c r="L965" s="22"/>
      <c r="M965" s="22"/>
      <c r="N965" s="22"/>
      <c r="O965" s="22" t="s">
        <v>15</v>
      </c>
      <c r="P965" s="25" t="s">
        <v>1211</v>
      </c>
      <c r="Q965" s="16">
        <v>2958465</v>
      </c>
      <c r="R965" s="24"/>
    </row>
    <row r="966" spans="1:18">
      <c r="A966" s="11">
        <f t="shared" si="15"/>
        <v>965</v>
      </c>
      <c r="B966" s="11">
        <v>8020026152</v>
      </c>
      <c r="C966" s="25" t="s">
        <v>1247</v>
      </c>
      <c r="D966" s="27">
        <v>143577</v>
      </c>
      <c r="E966" s="11">
        <v>0.56000000000000005</v>
      </c>
      <c r="F966" s="11" t="s">
        <v>11</v>
      </c>
      <c r="G966" s="44">
        <v>80403</v>
      </c>
      <c r="H966" s="28">
        <v>72435.135135135133</v>
      </c>
      <c r="I966" s="19" t="s">
        <v>12</v>
      </c>
      <c r="J966" s="19" t="s">
        <v>13</v>
      </c>
      <c r="K966" s="32" t="s">
        <v>14</v>
      </c>
      <c r="L966" s="22"/>
      <c r="M966" s="22"/>
      <c r="N966" s="22"/>
      <c r="O966" s="22" t="s">
        <v>15</v>
      </c>
      <c r="P966" s="25" t="s">
        <v>1211</v>
      </c>
      <c r="Q966" s="16">
        <v>2958465</v>
      </c>
      <c r="R966" s="24"/>
    </row>
    <row r="967" spans="1:18">
      <c r="A967" s="11">
        <f t="shared" si="15"/>
        <v>966</v>
      </c>
      <c r="B967" s="11">
        <v>8020026153</v>
      </c>
      <c r="C967" s="25" t="s">
        <v>1248</v>
      </c>
      <c r="D967" s="27">
        <v>228439</v>
      </c>
      <c r="E967" s="11">
        <v>0.56000000000000005</v>
      </c>
      <c r="F967" s="11" t="s">
        <v>11</v>
      </c>
      <c r="G967" s="44">
        <v>127926</v>
      </c>
      <c r="H967" s="28">
        <v>115248.64864864864</v>
      </c>
      <c r="I967" s="19" t="s">
        <v>12</v>
      </c>
      <c r="J967" s="19" t="s">
        <v>13</v>
      </c>
      <c r="K967" s="32" t="s">
        <v>14</v>
      </c>
      <c r="L967" s="22"/>
      <c r="M967" s="22"/>
      <c r="N967" s="22"/>
      <c r="O967" s="22" t="s">
        <v>15</v>
      </c>
      <c r="P967" s="25" t="s">
        <v>1211</v>
      </c>
      <c r="Q967" s="16">
        <v>2958465</v>
      </c>
      <c r="R967" s="24"/>
    </row>
    <row r="968" spans="1:18">
      <c r="A968" s="11">
        <f t="shared" si="15"/>
        <v>967</v>
      </c>
      <c r="B968" s="11">
        <v>8020026176</v>
      </c>
      <c r="C968" s="25" t="s">
        <v>1249</v>
      </c>
      <c r="D968" s="27">
        <v>623152</v>
      </c>
      <c r="E968" s="11">
        <v>0.56000000000000005</v>
      </c>
      <c r="F968" s="11" t="s">
        <v>11</v>
      </c>
      <c r="G968" s="44">
        <v>348965</v>
      </c>
      <c r="H968" s="28">
        <v>314382.88288288284</v>
      </c>
      <c r="I968" s="19" t="s">
        <v>12</v>
      </c>
      <c r="J968" s="19" t="s">
        <v>13</v>
      </c>
      <c r="K968" s="32" t="s">
        <v>14</v>
      </c>
      <c r="L968" s="22"/>
      <c r="M968" s="22"/>
      <c r="N968" s="22"/>
      <c r="O968" s="22" t="s">
        <v>15</v>
      </c>
      <c r="P968" s="25" t="s">
        <v>1211</v>
      </c>
      <c r="Q968" s="16">
        <v>2958465</v>
      </c>
      <c r="R968" s="24"/>
    </row>
    <row r="969" spans="1:18">
      <c r="A969" s="11">
        <f t="shared" si="15"/>
        <v>968</v>
      </c>
      <c r="B969" s="11">
        <v>8020220015</v>
      </c>
      <c r="C969" s="25" t="s">
        <v>1254</v>
      </c>
      <c r="D969" s="27">
        <v>68357</v>
      </c>
      <c r="E969" s="11">
        <v>0.56000000000000005</v>
      </c>
      <c r="F969" s="11" t="s">
        <v>11</v>
      </c>
      <c r="G969" s="44">
        <v>38280</v>
      </c>
      <c r="H969" s="28">
        <v>34486.486486486487</v>
      </c>
      <c r="I969" s="19" t="s">
        <v>12</v>
      </c>
      <c r="J969" s="19" t="s">
        <v>13</v>
      </c>
      <c r="K969" s="32" t="s">
        <v>265</v>
      </c>
      <c r="L969" s="22"/>
      <c r="M969" s="22"/>
      <c r="N969" s="22"/>
      <c r="O969" s="22" t="s">
        <v>15</v>
      </c>
      <c r="P969" s="25" t="s">
        <v>1253</v>
      </c>
      <c r="Q969" s="16">
        <v>2958465</v>
      </c>
      <c r="R969" s="24"/>
    </row>
    <row r="970" spans="1:18">
      <c r="A970" s="11">
        <f t="shared" si="15"/>
        <v>969</v>
      </c>
      <c r="B970" s="11">
        <v>8020220034</v>
      </c>
      <c r="C970" s="25" t="s">
        <v>1255</v>
      </c>
      <c r="D970" s="27">
        <v>108429</v>
      </c>
      <c r="E970" s="11">
        <v>0.56000000000000005</v>
      </c>
      <c r="F970" s="11" t="s">
        <v>11</v>
      </c>
      <c r="G970" s="44">
        <v>60720</v>
      </c>
      <c r="H970" s="28">
        <v>54702.7027027027</v>
      </c>
      <c r="I970" s="19" t="s">
        <v>12</v>
      </c>
      <c r="J970" s="19" t="s">
        <v>13</v>
      </c>
      <c r="K970" s="32" t="s">
        <v>265</v>
      </c>
      <c r="L970" s="22"/>
      <c r="M970" s="22"/>
      <c r="N970" s="22"/>
      <c r="O970" s="22" t="s">
        <v>15</v>
      </c>
      <c r="P970" s="25" t="s">
        <v>1253</v>
      </c>
      <c r="Q970" s="16">
        <v>2958465</v>
      </c>
      <c r="R970" s="24"/>
    </row>
    <row r="971" spans="1:18">
      <c r="A971" s="11">
        <f t="shared" si="15"/>
        <v>970</v>
      </c>
      <c r="B971" s="11">
        <v>8020220053</v>
      </c>
      <c r="C971" s="25" t="s">
        <v>1256</v>
      </c>
      <c r="D971" s="27">
        <v>174900</v>
      </c>
      <c r="E971" s="11">
        <v>0.56000000000000005</v>
      </c>
      <c r="F971" s="11" t="s">
        <v>11</v>
      </c>
      <c r="G971" s="44">
        <v>97944</v>
      </c>
      <c r="H971" s="28">
        <v>88237.837837837826</v>
      </c>
      <c r="I971" s="19" t="s">
        <v>12</v>
      </c>
      <c r="J971" s="19" t="s">
        <v>13</v>
      </c>
      <c r="K971" s="32" t="s">
        <v>265</v>
      </c>
      <c r="L971" s="22"/>
      <c r="M971" s="22"/>
      <c r="N971" s="22"/>
      <c r="O971" s="22" t="s">
        <v>15</v>
      </c>
      <c r="P971" s="25" t="s">
        <v>1253</v>
      </c>
      <c r="Q971" s="16">
        <v>2958465</v>
      </c>
      <c r="R971" s="24"/>
    </row>
    <row r="972" spans="1:18">
      <c r="A972" s="11">
        <f t="shared" si="15"/>
        <v>971</v>
      </c>
      <c r="B972" s="11">
        <v>8030020041</v>
      </c>
      <c r="C972" s="25" t="s">
        <v>524</v>
      </c>
      <c r="D972" s="27">
        <v>4682</v>
      </c>
      <c r="E972" s="11">
        <v>0.35</v>
      </c>
      <c r="F972" s="11" t="s">
        <v>11</v>
      </c>
      <c r="G972" s="44">
        <v>1639</v>
      </c>
      <c r="H972" s="28">
        <v>1476.5765765765764</v>
      </c>
      <c r="I972" s="19" t="s">
        <v>367</v>
      </c>
      <c r="J972" s="19" t="s">
        <v>368</v>
      </c>
      <c r="K972" s="32" t="s">
        <v>369</v>
      </c>
      <c r="L972" s="22"/>
      <c r="M972" s="22"/>
      <c r="N972" s="22"/>
      <c r="O972" s="20" t="s">
        <v>15</v>
      </c>
      <c r="P972" s="25" t="s">
        <v>16</v>
      </c>
      <c r="Q972" s="16">
        <v>2958465</v>
      </c>
    </row>
    <row r="973" spans="1:18">
      <c r="A973" s="11">
        <f t="shared" si="15"/>
        <v>972</v>
      </c>
      <c r="B973" s="11">
        <v>8030020042</v>
      </c>
      <c r="C973" s="25" t="s">
        <v>1257</v>
      </c>
      <c r="D973" s="27">
        <v>5056</v>
      </c>
      <c r="E973" s="11">
        <v>0.35</v>
      </c>
      <c r="F973" s="11" t="s">
        <v>11</v>
      </c>
      <c r="G973" s="44">
        <v>1770</v>
      </c>
      <c r="H973" s="28">
        <v>1594.5945945945944</v>
      </c>
      <c r="I973" s="19" t="s">
        <v>367</v>
      </c>
      <c r="J973" s="19" t="s">
        <v>368</v>
      </c>
      <c r="K973" s="32" t="s">
        <v>369</v>
      </c>
      <c r="L973" s="22"/>
      <c r="M973" s="22"/>
      <c r="N973" s="22"/>
      <c r="O973" s="22" t="s">
        <v>15</v>
      </c>
      <c r="P973" s="25" t="s">
        <v>1258</v>
      </c>
      <c r="Q973" s="16">
        <v>2958465</v>
      </c>
      <c r="R973" s="24"/>
    </row>
    <row r="974" spans="1:18">
      <c r="A974" s="11">
        <f t="shared" si="15"/>
        <v>973</v>
      </c>
      <c r="B974" s="11">
        <v>8030020044</v>
      </c>
      <c r="C974" s="25" t="s">
        <v>391</v>
      </c>
      <c r="D974" s="27">
        <v>7500</v>
      </c>
      <c r="E974" s="11">
        <v>0.35</v>
      </c>
      <c r="F974" s="11" t="s">
        <v>11</v>
      </c>
      <c r="G974" s="44">
        <v>2625</v>
      </c>
      <c r="H974" s="28">
        <v>2364.8648648648646</v>
      </c>
      <c r="I974" s="19" t="s">
        <v>367</v>
      </c>
      <c r="J974" s="19" t="s">
        <v>368</v>
      </c>
      <c r="K974" s="32" t="s">
        <v>369</v>
      </c>
      <c r="L974" s="22"/>
      <c r="M974" s="22"/>
      <c r="N974" s="22"/>
      <c r="O974" s="20" t="s">
        <v>15</v>
      </c>
      <c r="P974" s="25" t="s">
        <v>16</v>
      </c>
      <c r="Q974" s="16">
        <v>2958465</v>
      </c>
    </row>
    <row r="975" spans="1:18">
      <c r="A975" s="11">
        <f t="shared" si="15"/>
        <v>974</v>
      </c>
      <c r="B975" s="11">
        <v>8030020045</v>
      </c>
      <c r="C975" s="25" t="s">
        <v>392</v>
      </c>
      <c r="D975" s="27">
        <v>8300</v>
      </c>
      <c r="E975" s="11">
        <v>0.35</v>
      </c>
      <c r="F975" s="11" t="s">
        <v>11</v>
      </c>
      <c r="G975" s="44">
        <v>2905</v>
      </c>
      <c r="H975" s="28">
        <v>2617.1171171171168</v>
      </c>
      <c r="I975" s="19" t="s">
        <v>367</v>
      </c>
      <c r="J975" s="19" t="s">
        <v>368</v>
      </c>
      <c r="K975" s="32" t="s">
        <v>369</v>
      </c>
      <c r="L975" s="22"/>
      <c r="M975" s="22"/>
      <c r="N975" s="22"/>
      <c r="O975" s="20" t="s">
        <v>15</v>
      </c>
      <c r="P975" s="25" t="s">
        <v>16</v>
      </c>
      <c r="Q975" s="16">
        <v>2958465</v>
      </c>
    </row>
    <row r="976" spans="1:18">
      <c r="A976" s="11">
        <f t="shared" si="15"/>
        <v>975</v>
      </c>
      <c r="B976" s="11">
        <v>8030020046</v>
      </c>
      <c r="C976" s="25" t="s">
        <v>393</v>
      </c>
      <c r="D976" s="27">
        <v>7500</v>
      </c>
      <c r="E976" s="11">
        <v>0.35</v>
      </c>
      <c r="F976" s="11" t="s">
        <v>11</v>
      </c>
      <c r="G976" s="44">
        <v>2625</v>
      </c>
      <c r="H976" s="28">
        <v>2364.8648648648646</v>
      </c>
      <c r="I976" s="19" t="s">
        <v>367</v>
      </c>
      <c r="J976" s="19" t="s">
        <v>368</v>
      </c>
      <c r="K976" s="32" t="s">
        <v>369</v>
      </c>
      <c r="L976" s="22"/>
      <c r="M976" s="22"/>
      <c r="N976" s="22"/>
      <c r="O976" s="20" t="s">
        <v>15</v>
      </c>
      <c r="P976" s="25" t="s">
        <v>16</v>
      </c>
      <c r="Q976" s="16">
        <v>2958465</v>
      </c>
    </row>
    <row r="977" spans="1:17">
      <c r="A977" s="11">
        <f t="shared" si="15"/>
        <v>976</v>
      </c>
      <c r="B977" s="11">
        <v>8030020047</v>
      </c>
      <c r="C977" s="25" t="s">
        <v>394</v>
      </c>
      <c r="D977" s="27">
        <v>8300</v>
      </c>
      <c r="E977" s="11">
        <v>0.35</v>
      </c>
      <c r="F977" s="11" t="s">
        <v>11</v>
      </c>
      <c r="G977" s="44">
        <v>2905</v>
      </c>
      <c r="H977" s="28">
        <v>2617.1171171171168</v>
      </c>
      <c r="I977" s="19" t="s">
        <v>367</v>
      </c>
      <c r="J977" s="19" t="s">
        <v>368</v>
      </c>
      <c r="K977" s="32" t="s">
        <v>369</v>
      </c>
      <c r="L977" s="22"/>
      <c r="M977" s="22"/>
      <c r="N977" s="22"/>
      <c r="O977" s="20" t="s">
        <v>15</v>
      </c>
      <c r="P977" s="25" t="s">
        <v>16</v>
      </c>
      <c r="Q977" s="16">
        <v>2958465</v>
      </c>
    </row>
    <row r="978" spans="1:17">
      <c r="A978" s="11">
        <f t="shared" si="15"/>
        <v>977</v>
      </c>
      <c r="B978" s="11">
        <v>8030020052</v>
      </c>
      <c r="C978" s="25" t="s">
        <v>395</v>
      </c>
      <c r="D978" s="27">
        <v>14700</v>
      </c>
      <c r="E978" s="11">
        <v>0.35</v>
      </c>
      <c r="F978" s="11" t="s">
        <v>11</v>
      </c>
      <c r="G978" s="44">
        <v>5145</v>
      </c>
      <c r="H978" s="28">
        <v>4635.135135135135</v>
      </c>
      <c r="I978" s="19" t="s">
        <v>367</v>
      </c>
      <c r="J978" s="19" t="s">
        <v>368</v>
      </c>
      <c r="K978" s="32" t="s">
        <v>369</v>
      </c>
      <c r="L978" s="22"/>
      <c r="M978" s="22"/>
      <c r="N978" s="22"/>
      <c r="O978" s="20" t="s">
        <v>15</v>
      </c>
      <c r="P978" s="25" t="s">
        <v>16</v>
      </c>
      <c r="Q978" s="16">
        <v>2958465</v>
      </c>
    </row>
    <row r="979" spans="1:17">
      <c r="A979" s="11">
        <f t="shared" si="15"/>
        <v>978</v>
      </c>
      <c r="B979" s="11">
        <v>8030020053</v>
      </c>
      <c r="C979" s="25" t="s">
        <v>396</v>
      </c>
      <c r="D979" s="27">
        <v>28350</v>
      </c>
      <c r="E979" s="11">
        <v>0.35</v>
      </c>
      <c r="F979" s="11" t="s">
        <v>11</v>
      </c>
      <c r="G979" s="44">
        <v>9923</v>
      </c>
      <c r="H979" s="28">
        <v>8939.6396396396394</v>
      </c>
      <c r="I979" s="19" t="s">
        <v>367</v>
      </c>
      <c r="J979" s="19" t="s">
        <v>368</v>
      </c>
      <c r="K979" s="32" t="s">
        <v>369</v>
      </c>
      <c r="L979" s="22"/>
      <c r="M979" s="22"/>
      <c r="N979" s="22"/>
      <c r="O979" s="20" t="s">
        <v>15</v>
      </c>
      <c r="P979" s="25" t="s">
        <v>16</v>
      </c>
      <c r="Q979" s="16">
        <v>2958465</v>
      </c>
    </row>
    <row r="980" spans="1:17">
      <c r="A980" s="11">
        <f t="shared" si="15"/>
        <v>979</v>
      </c>
      <c r="B980" s="11">
        <v>8030020054</v>
      </c>
      <c r="C980" s="25" t="s">
        <v>397</v>
      </c>
      <c r="D980" s="27">
        <v>17850</v>
      </c>
      <c r="E980" s="11">
        <v>0.35</v>
      </c>
      <c r="F980" s="11" t="s">
        <v>11</v>
      </c>
      <c r="G980" s="44">
        <v>6248</v>
      </c>
      <c r="H980" s="28">
        <v>5628.8288288288286</v>
      </c>
      <c r="I980" s="19" t="s">
        <v>367</v>
      </c>
      <c r="J980" s="19" t="s">
        <v>368</v>
      </c>
      <c r="K980" s="32" t="s">
        <v>369</v>
      </c>
      <c r="L980" s="22"/>
      <c r="M980" s="22"/>
      <c r="N980" s="22"/>
      <c r="O980" s="20" t="s">
        <v>15</v>
      </c>
      <c r="P980" s="25" t="s">
        <v>16</v>
      </c>
      <c r="Q980" s="16">
        <v>2958465</v>
      </c>
    </row>
    <row r="981" spans="1:17">
      <c r="A981" s="11">
        <f t="shared" si="15"/>
        <v>980</v>
      </c>
      <c r="B981" s="11">
        <v>8030020055</v>
      </c>
      <c r="C981" s="25" t="s">
        <v>398</v>
      </c>
      <c r="D981" s="27">
        <v>12600</v>
      </c>
      <c r="E981" s="11">
        <v>0.35</v>
      </c>
      <c r="F981" s="11" t="s">
        <v>11</v>
      </c>
      <c r="G981" s="44">
        <v>4410</v>
      </c>
      <c r="H981" s="28">
        <v>3972.9729729729725</v>
      </c>
      <c r="I981" s="19" t="s">
        <v>367</v>
      </c>
      <c r="J981" s="19" t="s">
        <v>368</v>
      </c>
      <c r="K981" s="32" t="s">
        <v>369</v>
      </c>
      <c r="L981" s="22"/>
      <c r="M981" s="22"/>
      <c r="N981" s="22"/>
      <c r="O981" s="20" t="s">
        <v>15</v>
      </c>
      <c r="P981" s="25" t="s">
        <v>16</v>
      </c>
      <c r="Q981" s="16">
        <v>2958465</v>
      </c>
    </row>
    <row r="982" spans="1:17">
      <c r="A982" s="11">
        <f t="shared" si="15"/>
        <v>981</v>
      </c>
      <c r="B982" s="11">
        <v>8030020056</v>
      </c>
      <c r="C982" s="25" t="s">
        <v>399</v>
      </c>
      <c r="D982" s="27">
        <v>9450</v>
      </c>
      <c r="E982" s="11">
        <v>0.35</v>
      </c>
      <c r="F982" s="11" t="s">
        <v>11</v>
      </c>
      <c r="G982" s="44">
        <v>3308</v>
      </c>
      <c r="H982" s="28">
        <v>2980.1801801801798</v>
      </c>
      <c r="I982" s="19" t="s">
        <v>367</v>
      </c>
      <c r="J982" s="19" t="s">
        <v>368</v>
      </c>
      <c r="K982" s="32" t="s">
        <v>369</v>
      </c>
      <c r="L982" s="22"/>
      <c r="M982" s="22"/>
      <c r="N982" s="22"/>
      <c r="O982" s="20" t="s">
        <v>15</v>
      </c>
      <c r="P982" s="25" t="s">
        <v>16</v>
      </c>
      <c r="Q982" s="16">
        <v>2958465</v>
      </c>
    </row>
    <row r="983" spans="1:17">
      <c r="A983" s="11">
        <f t="shared" si="15"/>
        <v>982</v>
      </c>
      <c r="B983" s="11">
        <v>8030020057</v>
      </c>
      <c r="C983" s="25" t="s">
        <v>400</v>
      </c>
      <c r="D983" s="27">
        <v>11550</v>
      </c>
      <c r="E983" s="11">
        <v>0.35</v>
      </c>
      <c r="F983" s="11" t="s">
        <v>11</v>
      </c>
      <c r="G983" s="44">
        <v>4043</v>
      </c>
      <c r="H983" s="28">
        <v>3642.3423423423419</v>
      </c>
      <c r="I983" s="19" t="s">
        <v>367</v>
      </c>
      <c r="J983" s="19" t="s">
        <v>368</v>
      </c>
      <c r="K983" s="32" t="s">
        <v>369</v>
      </c>
      <c r="L983" s="22"/>
      <c r="M983" s="22"/>
      <c r="N983" s="22"/>
      <c r="O983" s="20" t="s">
        <v>15</v>
      </c>
      <c r="P983" s="25" t="s">
        <v>16</v>
      </c>
      <c r="Q983" s="16">
        <v>2958465</v>
      </c>
    </row>
    <row r="984" spans="1:17">
      <c r="A984" s="11">
        <f t="shared" si="15"/>
        <v>983</v>
      </c>
      <c r="B984" s="11">
        <v>8030020058</v>
      </c>
      <c r="C984" s="25" t="s">
        <v>390</v>
      </c>
      <c r="D984" s="27">
        <v>12600</v>
      </c>
      <c r="E984" s="11">
        <v>0.35</v>
      </c>
      <c r="F984" s="11" t="s">
        <v>11</v>
      </c>
      <c r="G984" s="44">
        <v>4410</v>
      </c>
      <c r="H984" s="28">
        <v>3972.9729729729725</v>
      </c>
      <c r="I984" s="19" t="s">
        <v>367</v>
      </c>
      <c r="J984" s="19" t="s">
        <v>368</v>
      </c>
      <c r="K984" s="32" t="s">
        <v>369</v>
      </c>
      <c r="L984" s="22"/>
      <c r="M984" s="22"/>
      <c r="N984" s="22"/>
      <c r="O984" s="20" t="s">
        <v>15</v>
      </c>
      <c r="P984" s="25" t="s">
        <v>16</v>
      </c>
      <c r="Q984" s="16">
        <v>2958465</v>
      </c>
    </row>
    <row r="985" spans="1:17">
      <c r="A985" s="11">
        <f t="shared" si="15"/>
        <v>984</v>
      </c>
      <c r="B985" s="11">
        <v>8030020059</v>
      </c>
      <c r="C985" s="25" t="s">
        <v>366</v>
      </c>
      <c r="D985" s="27">
        <v>12600</v>
      </c>
      <c r="E985" s="11">
        <v>0.35</v>
      </c>
      <c r="F985" s="11" t="s">
        <v>11</v>
      </c>
      <c r="G985" s="44">
        <v>4410</v>
      </c>
      <c r="H985" s="28">
        <v>3972.9729729729725</v>
      </c>
      <c r="I985" s="19" t="s">
        <v>367</v>
      </c>
      <c r="J985" s="19" t="s">
        <v>368</v>
      </c>
      <c r="K985" s="32" t="s">
        <v>369</v>
      </c>
      <c r="L985" s="22"/>
      <c r="M985" s="22"/>
      <c r="N985" s="22"/>
      <c r="O985" s="20" t="s">
        <v>15</v>
      </c>
      <c r="P985" s="25" t="s">
        <v>16</v>
      </c>
      <c r="Q985" s="16">
        <v>2958465</v>
      </c>
    </row>
    <row r="986" spans="1:17">
      <c r="A986" s="11">
        <f t="shared" si="15"/>
        <v>985</v>
      </c>
      <c r="B986" s="11">
        <v>8030020060</v>
      </c>
      <c r="C986" s="25" t="s">
        <v>370</v>
      </c>
      <c r="D986" s="27">
        <v>12600</v>
      </c>
      <c r="E986" s="11">
        <v>0.35</v>
      </c>
      <c r="F986" s="11" t="s">
        <v>11</v>
      </c>
      <c r="G986" s="44">
        <v>4410</v>
      </c>
      <c r="H986" s="28">
        <v>3972.9729729729725</v>
      </c>
      <c r="I986" s="19" t="s">
        <v>367</v>
      </c>
      <c r="J986" s="19" t="s">
        <v>368</v>
      </c>
      <c r="K986" s="32" t="s">
        <v>369</v>
      </c>
      <c r="L986" s="22"/>
      <c r="M986" s="22"/>
      <c r="N986" s="22"/>
      <c r="O986" s="20" t="s">
        <v>15</v>
      </c>
      <c r="P986" s="25" t="s">
        <v>16</v>
      </c>
      <c r="Q986" s="16">
        <v>2958465</v>
      </c>
    </row>
    <row r="987" spans="1:17">
      <c r="A987" s="11">
        <f t="shared" si="15"/>
        <v>986</v>
      </c>
      <c r="B987" s="11">
        <v>8030020062</v>
      </c>
      <c r="C987" s="25" t="s">
        <v>371</v>
      </c>
      <c r="D987" s="27">
        <v>10500</v>
      </c>
      <c r="E987" s="11">
        <v>0.35</v>
      </c>
      <c r="F987" s="11" t="s">
        <v>11</v>
      </c>
      <c r="G987" s="44">
        <v>3675</v>
      </c>
      <c r="H987" s="28">
        <v>3310.8108108108104</v>
      </c>
      <c r="I987" s="19" t="s">
        <v>367</v>
      </c>
      <c r="J987" s="19" t="s">
        <v>368</v>
      </c>
      <c r="K987" s="32" t="s">
        <v>369</v>
      </c>
      <c r="L987" s="22"/>
      <c r="M987" s="22"/>
      <c r="N987" s="22"/>
      <c r="O987" s="20" t="s">
        <v>15</v>
      </c>
      <c r="P987" s="25" t="s">
        <v>16</v>
      </c>
      <c r="Q987" s="16">
        <v>2958465</v>
      </c>
    </row>
    <row r="988" spans="1:17">
      <c r="A988" s="11">
        <f t="shared" si="15"/>
        <v>987</v>
      </c>
      <c r="B988" s="11">
        <v>8030020063</v>
      </c>
      <c r="C988" s="25" t="s">
        <v>372</v>
      </c>
      <c r="D988" s="27">
        <v>10500</v>
      </c>
      <c r="E988" s="11">
        <v>0.35</v>
      </c>
      <c r="F988" s="11" t="s">
        <v>11</v>
      </c>
      <c r="G988" s="44">
        <v>3675</v>
      </c>
      <c r="H988" s="28">
        <v>3310.8108108108104</v>
      </c>
      <c r="I988" s="19" t="s">
        <v>367</v>
      </c>
      <c r="J988" s="19" t="s">
        <v>368</v>
      </c>
      <c r="K988" s="32" t="s">
        <v>369</v>
      </c>
      <c r="L988" s="22"/>
      <c r="M988" s="22"/>
      <c r="N988" s="22"/>
      <c r="O988" s="20" t="s">
        <v>15</v>
      </c>
      <c r="P988" s="25" t="s">
        <v>16</v>
      </c>
      <c r="Q988" s="16">
        <v>2958465</v>
      </c>
    </row>
    <row r="989" spans="1:17">
      <c r="A989" s="11">
        <f t="shared" si="15"/>
        <v>988</v>
      </c>
      <c r="B989" s="11">
        <v>8030020064</v>
      </c>
      <c r="C989" s="25" t="s">
        <v>373</v>
      </c>
      <c r="D989" s="27">
        <v>10500</v>
      </c>
      <c r="E989" s="11">
        <v>0.35</v>
      </c>
      <c r="F989" s="11" t="s">
        <v>11</v>
      </c>
      <c r="G989" s="44">
        <v>3675</v>
      </c>
      <c r="H989" s="28">
        <v>3310.8108108108104</v>
      </c>
      <c r="I989" s="19" t="s">
        <v>367</v>
      </c>
      <c r="J989" s="19" t="s">
        <v>368</v>
      </c>
      <c r="K989" s="32" t="s">
        <v>369</v>
      </c>
      <c r="L989" s="22"/>
      <c r="M989" s="22"/>
      <c r="N989" s="22"/>
      <c r="O989" s="20" t="s">
        <v>15</v>
      </c>
      <c r="P989" s="25" t="s">
        <v>16</v>
      </c>
      <c r="Q989" s="16">
        <v>2958465</v>
      </c>
    </row>
    <row r="990" spans="1:17">
      <c r="A990" s="11">
        <f t="shared" si="15"/>
        <v>989</v>
      </c>
      <c r="B990" s="11">
        <v>8030020065</v>
      </c>
      <c r="C990" s="25" t="s">
        <v>374</v>
      </c>
      <c r="D990" s="27">
        <v>10500</v>
      </c>
      <c r="E990" s="11">
        <v>0.35</v>
      </c>
      <c r="F990" s="11" t="s">
        <v>11</v>
      </c>
      <c r="G990" s="44">
        <v>3675</v>
      </c>
      <c r="H990" s="28">
        <v>3310.8108108108104</v>
      </c>
      <c r="I990" s="19" t="s">
        <v>367</v>
      </c>
      <c r="J990" s="19" t="s">
        <v>368</v>
      </c>
      <c r="K990" s="32" t="s">
        <v>369</v>
      </c>
      <c r="L990" s="22"/>
      <c r="M990" s="22"/>
      <c r="N990" s="22"/>
      <c r="O990" s="20" t="s">
        <v>15</v>
      </c>
      <c r="P990" s="25" t="s">
        <v>16</v>
      </c>
      <c r="Q990" s="16">
        <v>2958465</v>
      </c>
    </row>
    <row r="991" spans="1:17">
      <c r="A991" s="11">
        <f t="shared" si="15"/>
        <v>990</v>
      </c>
      <c r="B991" s="11">
        <v>8030020066</v>
      </c>
      <c r="C991" s="25" t="s">
        <v>375</v>
      </c>
      <c r="D991" s="27">
        <v>9450</v>
      </c>
      <c r="E991" s="11">
        <v>0.35</v>
      </c>
      <c r="F991" s="11" t="s">
        <v>11</v>
      </c>
      <c r="G991" s="44">
        <v>3308</v>
      </c>
      <c r="H991" s="28">
        <v>2980.1801801801798</v>
      </c>
      <c r="I991" s="19" t="s">
        <v>367</v>
      </c>
      <c r="J991" s="19" t="s">
        <v>368</v>
      </c>
      <c r="K991" s="32" t="s">
        <v>369</v>
      </c>
      <c r="L991" s="22"/>
      <c r="M991" s="22"/>
      <c r="N991" s="22"/>
      <c r="O991" s="20" t="s">
        <v>15</v>
      </c>
      <c r="P991" s="25" t="s">
        <v>16</v>
      </c>
      <c r="Q991" s="16">
        <v>2958465</v>
      </c>
    </row>
    <row r="992" spans="1:17">
      <c r="A992" s="11">
        <f t="shared" si="15"/>
        <v>991</v>
      </c>
      <c r="B992" s="11">
        <v>8030020068</v>
      </c>
      <c r="C992" s="25" t="s">
        <v>376</v>
      </c>
      <c r="D992" s="27">
        <v>8400</v>
      </c>
      <c r="E992" s="11">
        <v>0.35</v>
      </c>
      <c r="F992" s="11" t="s">
        <v>11</v>
      </c>
      <c r="G992" s="44">
        <v>2940</v>
      </c>
      <c r="H992" s="28">
        <v>2648.6486486486483</v>
      </c>
      <c r="I992" s="19" t="s">
        <v>367</v>
      </c>
      <c r="J992" s="19" t="s">
        <v>368</v>
      </c>
      <c r="K992" s="32" t="s">
        <v>369</v>
      </c>
      <c r="L992" s="22"/>
      <c r="M992" s="22"/>
      <c r="N992" s="22"/>
      <c r="O992" s="20" t="s">
        <v>15</v>
      </c>
      <c r="P992" s="25" t="s">
        <v>16</v>
      </c>
      <c r="Q992" s="16">
        <v>2958465</v>
      </c>
    </row>
    <row r="993" spans="1:17">
      <c r="A993" s="11">
        <f t="shared" si="15"/>
        <v>992</v>
      </c>
      <c r="B993" s="11">
        <v>8030020069</v>
      </c>
      <c r="C993" s="25" t="s">
        <v>377</v>
      </c>
      <c r="D993" s="27">
        <v>9900</v>
      </c>
      <c r="E993" s="11">
        <v>0.35</v>
      </c>
      <c r="F993" s="11" t="s">
        <v>11</v>
      </c>
      <c r="G993" s="44">
        <v>3465</v>
      </c>
      <c r="H993" s="28">
        <v>3121.6216216216212</v>
      </c>
      <c r="I993" s="19" t="s">
        <v>367</v>
      </c>
      <c r="J993" s="19" t="s">
        <v>368</v>
      </c>
      <c r="K993" s="32" t="s">
        <v>369</v>
      </c>
      <c r="L993" s="22"/>
      <c r="M993" s="22"/>
      <c r="N993" s="22"/>
      <c r="O993" s="20" t="s">
        <v>15</v>
      </c>
      <c r="P993" s="25" t="s">
        <v>16</v>
      </c>
      <c r="Q993" s="16">
        <v>2958465</v>
      </c>
    </row>
    <row r="994" spans="1:17">
      <c r="A994" s="11">
        <f t="shared" si="15"/>
        <v>993</v>
      </c>
      <c r="B994" s="11">
        <v>8030020070</v>
      </c>
      <c r="C994" s="25" t="s">
        <v>378</v>
      </c>
      <c r="D994" s="27">
        <v>9500</v>
      </c>
      <c r="E994" s="11">
        <v>0.35</v>
      </c>
      <c r="F994" s="11" t="s">
        <v>11</v>
      </c>
      <c r="G994" s="44">
        <v>3325</v>
      </c>
      <c r="H994" s="28">
        <v>2995.4954954954951</v>
      </c>
      <c r="I994" s="19" t="s">
        <v>367</v>
      </c>
      <c r="J994" s="19" t="s">
        <v>368</v>
      </c>
      <c r="K994" s="32" t="s">
        <v>369</v>
      </c>
      <c r="L994" s="22"/>
      <c r="M994" s="22"/>
      <c r="N994" s="22"/>
      <c r="O994" s="20" t="s">
        <v>15</v>
      </c>
      <c r="P994" s="25" t="s">
        <v>16</v>
      </c>
      <c r="Q994" s="16">
        <v>2958465</v>
      </c>
    </row>
    <row r="995" spans="1:17">
      <c r="A995" s="11">
        <f t="shared" si="15"/>
        <v>994</v>
      </c>
      <c r="B995" s="11">
        <v>8030020071</v>
      </c>
      <c r="C995" s="25" t="s">
        <v>379</v>
      </c>
      <c r="D995" s="27">
        <v>7800</v>
      </c>
      <c r="E995" s="11">
        <v>0.35</v>
      </c>
      <c r="F995" s="11" t="s">
        <v>11</v>
      </c>
      <c r="G995" s="44">
        <v>2730</v>
      </c>
      <c r="H995" s="28">
        <v>2459.4594594594591</v>
      </c>
      <c r="I995" s="19" t="s">
        <v>367</v>
      </c>
      <c r="J995" s="19" t="s">
        <v>368</v>
      </c>
      <c r="K995" s="32" t="s">
        <v>369</v>
      </c>
      <c r="L995" s="22"/>
      <c r="M995" s="22"/>
      <c r="N995" s="22"/>
      <c r="O995" s="20" t="s">
        <v>15</v>
      </c>
      <c r="P995" s="25" t="s">
        <v>16</v>
      </c>
      <c r="Q995" s="16">
        <v>2958465</v>
      </c>
    </row>
    <row r="996" spans="1:17">
      <c r="A996" s="11">
        <f t="shared" si="15"/>
        <v>995</v>
      </c>
      <c r="B996" s="11">
        <v>8030020072</v>
      </c>
      <c r="C996" s="25" t="s">
        <v>380</v>
      </c>
      <c r="D996" s="27">
        <v>9500</v>
      </c>
      <c r="E996" s="11">
        <v>0.35</v>
      </c>
      <c r="F996" s="11" t="s">
        <v>11</v>
      </c>
      <c r="G996" s="44">
        <v>3325</v>
      </c>
      <c r="H996" s="28">
        <v>2995.4954954954951</v>
      </c>
      <c r="I996" s="19" t="s">
        <v>367</v>
      </c>
      <c r="J996" s="19" t="s">
        <v>368</v>
      </c>
      <c r="K996" s="32" t="s">
        <v>369</v>
      </c>
      <c r="L996" s="22"/>
      <c r="M996" s="22"/>
      <c r="N996" s="22"/>
      <c r="O996" s="20" t="s">
        <v>15</v>
      </c>
      <c r="P996" s="25" t="s">
        <v>16</v>
      </c>
      <c r="Q996" s="16">
        <v>2958465</v>
      </c>
    </row>
    <row r="997" spans="1:17">
      <c r="A997" s="11">
        <f t="shared" si="15"/>
        <v>996</v>
      </c>
      <c r="B997" s="11">
        <v>8030020076</v>
      </c>
      <c r="C997" s="25" t="s">
        <v>467</v>
      </c>
      <c r="D997" s="27">
        <v>13650</v>
      </c>
      <c r="E997" s="11">
        <v>0.35</v>
      </c>
      <c r="F997" s="11" t="s">
        <v>11</v>
      </c>
      <c r="G997" s="44">
        <v>4778</v>
      </c>
      <c r="H997" s="28">
        <v>4304.5045045045044</v>
      </c>
      <c r="I997" s="19" t="s">
        <v>367</v>
      </c>
      <c r="J997" s="19" t="s">
        <v>368</v>
      </c>
      <c r="K997" s="32" t="s">
        <v>369</v>
      </c>
      <c r="L997" s="22"/>
      <c r="M997" s="22"/>
      <c r="N997" s="22"/>
      <c r="O997" s="20" t="s">
        <v>15</v>
      </c>
      <c r="P997" s="25" t="s">
        <v>16</v>
      </c>
      <c r="Q997" s="16">
        <v>2958465</v>
      </c>
    </row>
    <row r="998" spans="1:17">
      <c r="A998" s="11">
        <f t="shared" si="15"/>
        <v>997</v>
      </c>
      <c r="B998" s="11">
        <v>8030020077</v>
      </c>
      <c r="C998" s="25" t="s">
        <v>470</v>
      </c>
      <c r="D998" s="27">
        <v>14700</v>
      </c>
      <c r="E998" s="11">
        <v>0.35</v>
      </c>
      <c r="F998" s="11" t="s">
        <v>11</v>
      </c>
      <c r="G998" s="44">
        <v>5145</v>
      </c>
      <c r="H998" s="28">
        <v>4635.135135135135</v>
      </c>
      <c r="I998" s="19" t="s">
        <v>367</v>
      </c>
      <c r="J998" s="19" t="s">
        <v>368</v>
      </c>
      <c r="K998" s="32" t="s">
        <v>369</v>
      </c>
      <c r="L998" s="22"/>
      <c r="M998" s="22"/>
      <c r="N998" s="22"/>
      <c r="O998" s="20" t="s">
        <v>15</v>
      </c>
      <c r="P998" s="25" t="s">
        <v>16</v>
      </c>
      <c r="Q998" s="16">
        <v>2958465</v>
      </c>
    </row>
    <row r="999" spans="1:17">
      <c r="A999" s="11">
        <f t="shared" si="15"/>
        <v>998</v>
      </c>
      <c r="B999" s="11">
        <v>8030020078</v>
      </c>
      <c r="C999" s="25" t="s">
        <v>471</v>
      </c>
      <c r="D999" s="27">
        <v>14700</v>
      </c>
      <c r="E999" s="11">
        <v>0.35</v>
      </c>
      <c r="F999" s="11" t="s">
        <v>11</v>
      </c>
      <c r="G999" s="44">
        <v>5145</v>
      </c>
      <c r="H999" s="28">
        <v>4635.135135135135</v>
      </c>
      <c r="I999" s="19" t="s">
        <v>367</v>
      </c>
      <c r="J999" s="19" t="s">
        <v>368</v>
      </c>
      <c r="K999" s="32" t="s">
        <v>369</v>
      </c>
      <c r="L999" s="22"/>
      <c r="M999" s="22"/>
      <c r="N999" s="22"/>
      <c r="O999" s="20" t="s">
        <v>15</v>
      </c>
      <c r="P999" s="25" t="s">
        <v>16</v>
      </c>
      <c r="Q999" s="16">
        <v>2958465</v>
      </c>
    </row>
    <row r="1000" spans="1:17">
      <c r="A1000" s="11">
        <f t="shared" si="15"/>
        <v>999</v>
      </c>
      <c r="B1000" s="11">
        <v>8030020112</v>
      </c>
      <c r="C1000" s="25" t="s">
        <v>384</v>
      </c>
      <c r="D1000" s="27">
        <v>11550</v>
      </c>
      <c r="E1000" s="11">
        <v>0.35</v>
      </c>
      <c r="F1000" s="11" t="s">
        <v>11</v>
      </c>
      <c r="G1000" s="44">
        <v>4043</v>
      </c>
      <c r="H1000" s="28">
        <v>3642.3423423423419</v>
      </c>
      <c r="I1000" s="19" t="s">
        <v>367</v>
      </c>
      <c r="J1000" s="19" t="s">
        <v>368</v>
      </c>
      <c r="K1000" s="32" t="s">
        <v>369</v>
      </c>
      <c r="L1000" s="22"/>
      <c r="M1000" s="22"/>
      <c r="N1000" s="22"/>
      <c r="O1000" s="20" t="s">
        <v>15</v>
      </c>
      <c r="P1000" s="25" t="s">
        <v>16</v>
      </c>
      <c r="Q1000" s="16">
        <v>2958465</v>
      </c>
    </row>
    <row r="1001" spans="1:17">
      <c r="A1001" s="11">
        <f t="shared" si="15"/>
        <v>1000</v>
      </c>
      <c r="B1001" s="11">
        <v>8030020113</v>
      </c>
      <c r="C1001" s="25" t="s">
        <v>381</v>
      </c>
      <c r="D1001" s="27">
        <v>10500</v>
      </c>
      <c r="E1001" s="11">
        <v>0.35</v>
      </c>
      <c r="F1001" s="11" t="s">
        <v>11</v>
      </c>
      <c r="G1001" s="44">
        <v>3675</v>
      </c>
      <c r="H1001" s="28">
        <v>3310.8108108108104</v>
      </c>
      <c r="I1001" s="19" t="s">
        <v>367</v>
      </c>
      <c r="J1001" s="19" t="s">
        <v>368</v>
      </c>
      <c r="K1001" s="32" t="s">
        <v>369</v>
      </c>
      <c r="L1001" s="22"/>
      <c r="M1001" s="22"/>
      <c r="N1001" s="22"/>
      <c r="O1001" s="20" t="s">
        <v>15</v>
      </c>
      <c r="P1001" s="25" t="s">
        <v>16</v>
      </c>
      <c r="Q1001" s="16">
        <v>2958465</v>
      </c>
    </row>
    <row r="1002" spans="1:17">
      <c r="A1002" s="11">
        <f t="shared" si="15"/>
        <v>1001</v>
      </c>
      <c r="B1002" s="11">
        <v>8030020114</v>
      </c>
      <c r="C1002" s="25" t="s">
        <v>382</v>
      </c>
      <c r="D1002" s="27">
        <v>10500</v>
      </c>
      <c r="E1002" s="11">
        <v>0.35</v>
      </c>
      <c r="F1002" s="11" t="s">
        <v>11</v>
      </c>
      <c r="G1002" s="44">
        <v>3675</v>
      </c>
      <c r="H1002" s="28">
        <v>3310.8108108108104</v>
      </c>
      <c r="I1002" s="19" t="s">
        <v>367</v>
      </c>
      <c r="J1002" s="19" t="s">
        <v>368</v>
      </c>
      <c r="K1002" s="32" t="s">
        <v>369</v>
      </c>
      <c r="L1002" s="22"/>
      <c r="M1002" s="22"/>
      <c r="N1002" s="22"/>
      <c r="O1002" s="20" t="s">
        <v>15</v>
      </c>
      <c r="P1002" s="25" t="s">
        <v>16</v>
      </c>
      <c r="Q1002" s="16">
        <v>2958465</v>
      </c>
    </row>
    <row r="1003" spans="1:17">
      <c r="A1003" s="11">
        <f t="shared" si="15"/>
        <v>1002</v>
      </c>
      <c r="B1003" s="11">
        <v>8030020115</v>
      </c>
      <c r="C1003" s="25" t="s">
        <v>383</v>
      </c>
      <c r="D1003" s="27">
        <v>11550</v>
      </c>
      <c r="E1003" s="11">
        <v>0.35</v>
      </c>
      <c r="F1003" s="11" t="s">
        <v>11</v>
      </c>
      <c r="G1003" s="44">
        <v>4043</v>
      </c>
      <c r="H1003" s="28">
        <v>3642.3423423423419</v>
      </c>
      <c r="I1003" s="19" t="s">
        <v>367</v>
      </c>
      <c r="J1003" s="19" t="s">
        <v>368</v>
      </c>
      <c r="K1003" s="32" t="s">
        <v>369</v>
      </c>
      <c r="L1003" s="22"/>
      <c r="M1003" s="22"/>
      <c r="N1003" s="22"/>
      <c r="O1003" s="20" t="s">
        <v>15</v>
      </c>
      <c r="P1003" s="25" t="s">
        <v>16</v>
      </c>
      <c r="Q1003" s="16">
        <v>2958465</v>
      </c>
    </row>
    <row r="1004" spans="1:17">
      <c r="A1004" s="11">
        <f t="shared" si="15"/>
        <v>1003</v>
      </c>
      <c r="B1004" s="11">
        <v>8030020116</v>
      </c>
      <c r="C1004" s="25" t="s">
        <v>385</v>
      </c>
      <c r="D1004" s="27">
        <v>10500</v>
      </c>
      <c r="E1004" s="11">
        <v>0.35</v>
      </c>
      <c r="F1004" s="11" t="s">
        <v>11</v>
      </c>
      <c r="G1004" s="44">
        <v>3675</v>
      </c>
      <c r="H1004" s="28">
        <v>3310.8108108108104</v>
      </c>
      <c r="I1004" s="19" t="s">
        <v>367</v>
      </c>
      <c r="J1004" s="19" t="s">
        <v>368</v>
      </c>
      <c r="K1004" s="32" t="s">
        <v>369</v>
      </c>
      <c r="L1004" s="22"/>
      <c r="M1004" s="22"/>
      <c r="N1004" s="22"/>
      <c r="O1004" s="20" t="s">
        <v>15</v>
      </c>
      <c r="P1004" s="25" t="s">
        <v>16</v>
      </c>
      <c r="Q1004" s="16">
        <v>2958465</v>
      </c>
    </row>
    <row r="1005" spans="1:17">
      <c r="A1005" s="11">
        <f t="shared" si="15"/>
        <v>1004</v>
      </c>
      <c r="B1005" s="11">
        <v>8030020117</v>
      </c>
      <c r="C1005" s="25" t="s">
        <v>386</v>
      </c>
      <c r="D1005" s="27">
        <v>11550</v>
      </c>
      <c r="E1005" s="11">
        <v>0.35</v>
      </c>
      <c r="F1005" s="11" t="s">
        <v>11</v>
      </c>
      <c r="G1005" s="44">
        <v>4043</v>
      </c>
      <c r="H1005" s="28">
        <v>3642.3423423423419</v>
      </c>
      <c r="I1005" s="19" t="s">
        <v>367</v>
      </c>
      <c r="J1005" s="19" t="s">
        <v>368</v>
      </c>
      <c r="K1005" s="32" t="s">
        <v>369</v>
      </c>
      <c r="L1005" s="22"/>
      <c r="M1005" s="22"/>
      <c r="N1005" s="22"/>
      <c r="O1005" s="20" t="s">
        <v>15</v>
      </c>
      <c r="P1005" s="25" t="s">
        <v>16</v>
      </c>
      <c r="Q1005" s="16">
        <v>2958465</v>
      </c>
    </row>
    <row r="1006" spans="1:17">
      <c r="A1006" s="11">
        <f t="shared" si="15"/>
        <v>1005</v>
      </c>
      <c r="B1006" s="11">
        <v>8030020118</v>
      </c>
      <c r="C1006" s="25" t="s">
        <v>387</v>
      </c>
      <c r="D1006" s="27">
        <v>12600</v>
      </c>
      <c r="E1006" s="11">
        <v>0.35</v>
      </c>
      <c r="F1006" s="11" t="s">
        <v>11</v>
      </c>
      <c r="G1006" s="44">
        <v>4410</v>
      </c>
      <c r="H1006" s="28">
        <v>3972.9729729729725</v>
      </c>
      <c r="I1006" s="19" t="s">
        <v>367</v>
      </c>
      <c r="J1006" s="19" t="s">
        <v>368</v>
      </c>
      <c r="K1006" s="32" t="s">
        <v>369</v>
      </c>
      <c r="L1006" s="22"/>
      <c r="M1006" s="22"/>
      <c r="N1006" s="22"/>
      <c r="O1006" s="20" t="s">
        <v>15</v>
      </c>
      <c r="P1006" s="25" t="s">
        <v>16</v>
      </c>
      <c r="Q1006" s="16">
        <v>2958465</v>
      </c>
    </row>
    <row r="1007" spans="1:17">
      <c r="A1007" s="11">
        <f t="shared" si="15"/>
        <v>1006</v>
      </c>
      <c r="B1007" s="11">
        <v>8030020119</v>
      </c>
      <c r="C1007" s="25" t="s">
        <v>388</v>
      </c>
      <c r="D1007" s="27">
        <v>11550</v>
      </c>
      <c r="E1007" s="11">
        <v>0.35</v>
      </c>
      <c r="F1007" s="11" t="s">
        <v>11</v>
      </c>
      <c r="G1007" s="44">
        <v>4043</v>
      </c>
      <c r="H1007" s="28">
        <v>3642.3423423423419</v>
      </c>
      <c r="I1007" s="19" t="s">
        <v>367</v>
      </c>
      <c r="J1007" s="19" t="s">
        <v>368</v>
      </c>
      <c r="K1007" s="32" t="s">
        <v>369</v>
      </c>
      <c r="L1007" s="22"/>
      <c r="M1007" s="22"/>
      <c r="N1007" s="22"/>
      <c r="O1007" s="20" t="s">
        <v>15</v>
      </c>
      <c r="P1007" s="25" t="s">
        <v>16</v>
      </c>
      <c r="Q1007" s="16">
        <v>2958465</v>
      </c>
    </row>
    <row r="1008" spans="1:17">
      <c r="A1008" s="11">
        <f t="shared" si="15"/>
        <v>1007</v>
      </c>
      <c r="B1008" s="11">
        <v>8030020120</v>
      </c>
      <c r="C1008" s="25" t="s">
        <v>389</v>
      </c>
      <c r="D1008" s="27">
        <v>13650</v>
      </c>
      <c r="E1008" s="11">
        <v>0.35</v>
      </c>
      <c r="F1008" s="11" t="s">
        <v>11</v>
      </c>
      <c r="G1008" s="44">
        <v>4778</v>
      </c>
      <c r="H1008" s="28">
        <v>4304.5045045045044</v>
      </c>
      <c r="I1008" s="19" t="s">
        <v>367</v>
      </c>
      <c r="J1008" s="19" t="s">
        <v>368</v>
      </c>
      <c r="K1008" s="32" t="s">
        <v>369</v>
      </c>
      <c r="L1008" s="22"/>
      <c r="M1008" s="22"/>
      <c r="N1008" s="22"/>
      <c r="O1008" s="20" t="s">
        <v>15</v>
      </c>
      <c r="P1008" s="25" t="s">
        <v>16</v>
      </c>
      <c r="Q1008" s="16">
        <v>2958465</v>
      </c>
    </row>
    <row r="1009" spans="1:17">
      <c r="A1009" s="11">
        <f t="shared" si="15"/>
        <v>1008</v>
      </c>
      <c r="B1009" s="11">
        <v>8030020121</v>
      </c>
      <c r="C1009" s="25" t="s">
        <v>458</v>
      </c>
      <c r="D1009" s="27">
        <v>13650</v>
      </c>
      <c r="E1009" s="11">
        <v>0.35</v>
      </c>
      <c r="F1009" s="11" t="s">
        <v>11</v>
      </c>
      <c r="G1009" s="44">
        <v>4778</v>
      </c>
      <c r="H1009" s="28">
        <v>4304.5045045045044</v>
      </c>
      <c r="I1009" s="19" t="s">
        <v>367</v>
      </c>
      <c r="J1009" s="19" t="s">
        <v>368</v>
      </c>
      <c r="K1009" s="32" t="s">
        <v>369</v>
      </c>
      <c r="L1009" s="22"/>
      <c r="M1009" s="22"/>
      <c r="N1009" s="22"/>
      <c r="O1009" s="20" t="s">
        <v>15</v>
      </c>
      <c r="P1009" s="25" t="s">
        <v>16</v>
      </c>
      <c r="Q1009" s="16">
        <v>2958465</v>
      </c>
    </row>
    <row r="1010" spans="1:17">
      <c r="A1010" s="11">
        <f t="shared" si="15"/>
        <v>1009</v>
      </c>
      <c r="B1010" s="11">
        <v>8030020122</v>
      </c>
      <c r="C1010" s="25" t="s">
        <v>459</v>
      </c>
      <c r="D1010" s="27">
        <v>13650</v>
      </c>
      <c r="E1010" s="11">
        <v>0.35</v>
      </c>
      <c r="F1010" s="11" t="s">
        <v>11</v>
      </c>
      <c r="G1010" s="44">
        <v>4778</v>
      </c>
      <c r="H1010" s="28">
        <v>4304.5045045045044</v>
      </c>
      <c r="I1010" s="19" t="s">
        <v>367</v>
      </c>
      <c r="J1010" s="19" t="s">
        <v>368</v>
      </c>
      <c r="K1010" s="32" t="s">
        <v>369</v>
      </c>
      <c r="L1010" s="22"/>
      <c r="M1010" s="22"/>
      <c r="N1010" s="22"/>
      <c r="O1010" s="20" t="s">
        <v>15</v>
      </c>
      <c r="P1010" s="25" t="s">
        <v>16</v>
      </c>
      <c r="Q1010" s="16">
        <v>2958465</v>
      </c>
    </row>
    <row r="1011" spans="1:17">
      <c r="A1011" s="11">
        <f t="shared" si="15"/>
        <v>1010</v>
      </c>
      <c r="B1011" s="11">
        <v>8030020123</v>
      </c>
      <c r="C1011" s="25" t="s">
        <v>460</v>
      </c>
      <c r="D1011" s="27">
        <v>17850</v>
      </c>
      <c r="E1011" s="11">
        <v>0.35</v>
      </c>
      <c r="F1011" s="11" t="s">
        <v>11</v>
      </c>
      <c r="G1011" s="44">
        <v>6248</v>
      </c>
      <c r="H1011" s="28">
        <v>5628.8288288288286</v>
      </c>
      <c r="I1011" s="19" t="s">
        <v>367</v>
      </c>
      <c r="J1011" s="19" t="s">
        <v>368</v>
      </c>
      <c r="K1011" s="32" t="s">
        <v>369</v>
      </c>
      <c r="L1011" s="22"/>
      <c r="M1011" s="22"/>
      <c r="N1011" s="22"/>
      <c r="O1011" s="20" t="s">
        <v>15</v>
      </c>
      <c r="P1011" s="25" t="s">
        <v>16</v>
      </c>
      <c r="Q1011" s="16">
        <v>2958465</v>
      </c>
    </row>
    <row r="1012" spans="1:17">
      <c r="A1012" s="11">
        <f t="shared" si="15"/>
        <v>1011</v>
      </c>
      <c r="B1012" s="11">
        <v>8030020126</v>
      </c>
      <c r="C1012" s="25" t="s">
        <v>468</v>
      </c>
      <c r="D1012" s="27">
        <v>1050</v>
      </c>
      <c r="E1012" s="11">
        <v>0.35</v>
      </c>
      <c r="F1012" s="11" t="s">
        <v>11</v>
      </c>
      <c r="G1012" s="44">
        <v>368</v>
      </c>
      <c r="H1012" s="28">
        <v>331.53153153153153</v>
      </c>
      <c r="I1012" s="19" t="s">
        <v>367</v>
      </c>
      <c r="J1012" s="19" t="s">
        <v>368</v>
      </c>
      <c r="K1012" s="32" t="s">
        <v>369</v>
      </c>
      <c r="L1012" s="22"/>
      <c r="M1012" s="22"/>
      <c r="N1012" s="22"/>
      <c r="O1012" s="20" t="s">
        <v>15</v>
      </c>
      <c r="P1012" s="25" t="s">
        <v>16</v>
      </c>
      <c r="Q1012" s="16">
        <v>2958465</v>
      </c>
    </row>
    <row r="1013" spans="1:17">
      <c r="A1013" s="11">
        <f t="shared" si="15"/>
        <v>1012</v>
      </c>
      <c r="B1013" s="11">
        <v>8030020127</v>
      </c>
      <c r="C1013" s="25" t="s">
        <v>461</v>
      </c>
      <c r="D1013" s="27">
        <v>600</v>
      </c>
      <c r="E1013" s="11">
        <v>0.35</v>
      </c>
      <c r="F1013" s="11" t="s">
        <v>11</v>
      </c>
      <c r="G1013" s="44">
        <v>210</v>
      </c>
      <c r="H1013" s="28">
        <v>189.18918918918916</v>
      </c>
      <c r="I1013" s="19" t="s">
        <v>367</v>
      </c>
      <c r="J1013" s="19" t="s">
        <v>368</v>
      </c>
      <c r="K1013" s="32" t="s">
        <v>369</v>
      </c>
      <c r="L1013" s="22"/>
      <c r="M1013" s="22"/>
      <c r="N1013" s="22"/>
      <c r="O1013" s="20" t="s">
        <v>15</v>
      </c>
      <c r="P1013" s="25" t="s">
        <v>16</v>
      </c>
      <c r="Q1013" s="16">
        <v>2958465</v>
      </c>
    </row>
    <row r="1014" spans="1:17">
      <c r="A1014" s="11">
        <f t="shared" si="15"/>
        <v>1013</v>
      </c>
      <c r="B1014" s="11">
        <v>8030020128</v>
      </c>
      <c r="C1014" s="25" t="s">
        <v>462</v>
      </c>
      <c r="D1014" s="27">
        <v>900</v>
      </c>
      <c r="E1014" s="11">
        <v>0.35</v>
      </c>
      <c r="F1014" s="11" t="s">
        <v>11</v>
      </c>
      <c r="G1014" s="44">
        <v>315</v>
      </c>
      <c r="H1014" s="28">
        <v>283.78378378378375</v>
      </c>
      <c r="I1014" s="19" t="s">
        <v>367</v>
      </c>
      <c r="J1014" s="19" t="s">
        <v>368</v>
      </c>
      <c r="K1014" s="32" t="s">
        <v>369</v>
      </c>
      <c r="L1014" s="22"/>
      <c r="M1014" s="22"/>
      <c r="N1014" s="22"/>
      <c r="O1014" s="20" t="s">
        <v>15</v>
      </c>
      <c r="P1014" s="25" t="s">
        <v>16</v>
      </c>
      <c r="Q1014" s="16">
        <v>2958465</v>
      </c>
    </row>
    <row r="1015" spans="1:17">
      <c r="A1015" s="11">
        <f t="shared" si="15"/>
        <v>1014</v>
      </c>
      <c r="B1015" s="11">
        <v>8030020129</v>
      </c>
      <c r="C1015" s="25" t="s">
        <v>463</v>
      </c>
      <c r="D1015" s="27">
        <v>1200</v>
      </c>
      <c r="E1015" s="11">
        <v>0.35</v>
      </c>
      <c r="F1015" s="11" t="s">
        <v>11</v>
      </c>
      <c r="G1015" s="44">
        <v>420</v>
      </c>
      <c r="H1015" s="28">
        <v>378.37837837837833</v>
      </c>
      <c r="I1015" s="19" t="s">
        <v>367</v>
      </c>
      <c r="J1015" s="19" t="s">
        <v>368</v>
      </c>
      <c r="K1015" s="32" t="s">
        <v>369</v>
      </c>
      <c r="L1015" s="22"/>
      <c r="M1015" s="22"/>
      <c r="N1015" s="22"/>
      <c r="O1015" s="20" t="s">
        <v>15</v>
      </c>
      <c r="P1015" s="25" t="s">
        <v>16</v>
      </c>
      <c r="Q1015" s="16">
        <v>2958465</v>
      </c>
    </row>
    <row r="1016" spans="1:17">
      <c r="A1016" s="11">
        <f t="shared" si="15"/>
        <v>1015</v>
      </c>
      <c r="B1016" s="11">
        <v>8030020130</v>
      </c>
      <c r="C1016" s="25" t="s">
        <v>464</v>
      </c>
      <c r="D1016" s="27">
        <v>5200</v>
      </c>
      <c r="E1016" s="11">
        <v>0.35</v>
      </c>
      <c r="F1016" s="11" t="s">
        <v>11</v>
      </c>
      <c r="G1016" s="44">
        <v>1820</v>
      </c>
      <c r="H1016" s="28">
        <v>1639.6396396396394</v>
      </c>
      <c r="I1016" s="19" t="s">
        <v>367</v>
      </c>
      <c r="J1016" s="19" t="s">
        <v>368</v>
      </c>
      <c r="K1016" s="32" t="s">
        <v>369</v>
      </c>
      <c r="L1016" s="22"/>
      <c r="M1016" s="22"/>
      <c r="N1016" s="22"/>
      <c r="O1016" s="20" t="s">
        <v>15</v>
      </c>
      <c r="P1016" s="25" t="s">
        <v>16</v>
      </c>
      <c r="Q1016" s="16">
        <v>2958465</v>
      </c>
    </row>
    <row r="1017" spans="1:17">
      <c r="A1017" s="11">
        <f t="shared" si="15"/>
        <v>1016</v>
      </c>
      <c r="B1017" s="11">
        <v>8030020131</v>
      </c>
      <c r="C1017" s="25" t="s">
        <v>469</v>
      </c>
      <c r="D1017" s="27">
        <v>3150</v>
      </c>
      <c r="E1017" s="11">
        <v>0.35</v>
      </c>
      <c r="F1017" s="11" t="s">
        <v>11</v>
      </c>
      <c r="G1017" s="44">
        <v>1103</v>
      </c>
      <c r="H1017" s="28">
        <v>993.6936936936936</v>
      </c>
      <c r="I1017" s="19" t="s">
        <v>367</v>
      </c>
      <c r="J1017" s="19" t="s">
        <v>368</v>
      </c>
      <c r="K1017" s="32" t="s">
        <v>369</v>
      </c>
      <c r="L1017" s="22"/>
      <c r="M1017" s="22"/>
      <c r="N1017" s="22"/>
      <c r="O1017" s="20" t="s">
        <v>15</v>
      </c>
      <c r="P1017" s="25" t="s">
        <v>16</v>
      </c>
      <c r="Q1017" s="16">
        <v>2958465</v>
      </c>
    </row>
    <row r="1018" spans="1:17">
      <c r="A1018" s="11">
        <f t="shared" si="15"/>
        <v>1017</v>
      </c>
      <c r="B1018" s="11">
        <v>8030020134</v>
      </c>
      <c r="C1018" s="25" t="s">
        <v>465</v>
      </c>
      <c r="D1018" s="27">
        <v>1050</v>
      </c>
      <c r="E1018" s="11">
        <v>0.35</v>
      </c>
      <c r="F1018" s="11" t="s">
        <v>11</v>
      </c>
      <c r="G1018" s="44">
        <v>368</v>
      </c>
      <c r="H1018" s="28">
        <v>331.53153153153153</v>
      </c>
      <c r="I1018" s="19" t="s">
        <v>367</v>
      </c>
      <c r="J1018" s="19" t="s">
        <v>368</v>
      </c>
      <c r="K1018" s="32" t="s">
        <v>369</v>
      </c>
      <c r="L1018" s="22"/>
      <c r="M1018" s="22"/>
      <c r="N1018" s="22"/>
      <c r="O1018" s="20" t="s">
        <v>15</v>
      </c>
      <c r="P1018" s="25" t="s">
        <v>16</v>
      </c>
      <c r="Q1018" s="16">
        <v>2958465</v>
      </c>
    </row>
    <row r="1019" spans="1:17">
      <c r="A1019" s="11">
        <f t="shared" si="15"/>
        <v>1018</v>
      </c>
      <c r="B1019" s="11">
        <v>8030020140</v>
      </c>
      <c r="C1019" s="25" t="s">
        <v>466</v>
      </c>
      <c r="D1019" s="27">
        <v>1050</v>
      </c>
      <c r="E1019" s="11">
        <v>0.35</v>
      </c>
      <c r="F1019" s="11" t="s">
        <v>11</v>
      </c>
      <c r="G1019" s="44">
        <v>368</v>
      </c>
      <c r="H1019" s="28">
        <v>331.53153153153153</v>
      </c>
      <c r="I1019" s="19" t="s">
        <v>367</v>
      </c>
      <c r="J1019" s="19" t="s">
        <v>368</v>
      </c>
      <c r="K1019" s="32" t="s">
        <v>369</v>
      </c>
      <c r="L1019" s="22"/>
      <c r="M1019" s="22"/>
      <c r="N1019" s="22"/>
      <c r="O1019" s="20" t="s">
        <v>15</v>
      </c>
      <c r="P1019" s="25" t="s">
        <v>16</v>
      </c>
      <c r="Q1019" s="16">
        <v>2958465</v>
      </c>
    </row>
    <row r="1020" spans="1:17">
      <c r="A1020" s="11">
        <f t="shared" si="15"/>
        <v>1019</v>
      </c>
      <c r="B1020" s="11">
        <v>8030020141</v>
      </c>
      <c r="C1020" s="25" t="s">
        <v>472</v>
      </c>
      <c r="D1020" s="27">
        <v>1200</v>
      </c>
      <c r="E1020" s="11">
        <v>0.35</v>
      </c>
      <c r="F1020" s="11" t="s">
        <v>11</v>
      </c>
      <c r="G1020" s="44">
        <v>420</v>
      </c>
      <c r="H1020" s="28">
        <v>378.37837837837833</v>
      </c>
      <c r="I1020" s="19" t="s">
        <v>367</v>
      </c>
      <c r="J1020" s="19" t="s">
        <v>368</v>
      </c>
      <c r="K1020" s="32" t="s">
        <v>369</v>
      </c>
      <c r="L1020" s="22"/>
      <c r="M1020" s="22"/>
      <c r="N1020" s="22"/>
      <c r="O1020" s="20" t="s">
        <v>15</v>
      </c>
      <c r="P1020" s="25" t="s">
        <v>16</v>
      </c>
      <c r="Q1020" s="16">
        <v>2958465</v>
      </c>
    </row>
    <row r="1021" spans="1:17">
      <c r="A1021" s="11">
        <f t="shared" si="15"/>
        <v>1020</v>
      </c>
      <c r="B1021" s="11">
        <v>8030020142</v>
      </c>
      <c r="C1021" s="25" t="s">
        <v>473</v>
      </c>
      <c r="D1021" s="27">
        <v>1700</v>
      </c>
      <c r="E1021" s="11">
        <v>0.35</v>
      </c>
      <c r="F1021" s="11" t="s">
        <v>11</v>
      </c>
      <c r="G1021" s="44">
        <v>595</v>
      </c>
      <c r="H1021" s="28">
        <v>536.03603603603597</v>
      </c>
      <c r="I1021" s="19" t="s">
        <v>367</v>
      </c>
      <c r="J1021" s="19" t="s">
        <v>368</v>
      </c>
      <c r="K1021" s="32" t="s">
        <v>369</v>
      </c>
      <c r="L1021" s="22"/>
      <c r="M1021" s="22"/>
      <c r="N1021" s="22"/>
      <c r="O1021" s="20" t="s">
        <v>15</v>
      </c>
      <c r="P1021" s="25" t="s">
        <v>16</v>
      </c>
      <c r="Q1021" s="16">
        <v>2958465</v>
      </c>
    </row>
    <row r="1022" spans="1:17">
      <c r="A1022" s="11">
        <f t="shared" si="15"/>
        <v>1021</v>
      </c>
      <c r="B1022" s="11">
        <v>8030020143</v>
      </c>
      <c r="C1022" s="25" t="s">
        <v>474</v>
      </c>
      <c r="D1022" s="27">
        <v>2900</v>
      </c>
      <c r="E1022" s="11">
        <v>0.35</v>
      </c>
      <c r="F1022" s="11" t="s">
        <v>11</v>
      </c>
      <c r="G1022" s="44">
        <v>1015</v>
      </c>
      <c r="H1022" s="28">
        <v>914.4144144144143</v>
      </c>
      <c r="I1022" s="19" t="s">
        <v>367</v>
      </c>
      <c r="J1022" s="19" t="s">
        <v>368</v>
      </c>
      <c r="K1022" s="32" t="s">
        <v>369</v>
      </c>
      <c r="L1022" s="22"/>
      <c r="M1022" s="22"/>
      <c r="N1022" s="22"/>
      <c r="O1022" s="20" t="s">
        <v>15</v>
      </c>
      <c r="P1022" s="25" t="s">
        <v>16</v>
      </c>
      <c r="Q1022" s="16">
        <v>2958465</v>
      </c>
    </row>
    <row r="1023" spans="1:17">
      <c r="A1023" s="11">
        <f t="shared" si="15"/>
        <v>1022</v>
      </c>
      <c r="B1023" s="11">
        <v>8030020144</v>
      </c>
      <c r="C1023" s="25" t="s">
        <v>475</v>
      </c>
      <c r="D1023" s="27">
        <v>10300</v>
      </c>
      <c r="E1023" s="11">
        <v>0.35</v>
      </c>
      <c r="F1023" s="11" t="s">
        <v>11</v>
      </c>
      <c r="G1023" s="44">
        <v>3605</v>
      </c>
      <c r="H1023" s="28">
        <v>3247.7477477477473</v>
      </c>
      <c r="I1023" s="19" t="s">
        <v>367</v>
      </c>
      <c r="J1023" s="19" t="s">
        <v>368</v>
      </c>
      <c r="K1023" s="32" t="s">
        <v>369</v>
      </c>
      <c r="L1023" s="22"/>
      <c r="M1023" s="22"/>
      <c r="N1023" s="22"/>
      <c r="O1023" s="20" t="s">
        <v>15</v>
      </c>
      <c r="P1023" s="25" t="s">
        <v>16</v>
      </c>
      <c r="Q1023" s="16">
        <v>2958465</v>
      </c>
    </row>
    <row r="1024" spans="1:17">
      <c r="A1024" s="11">
        <f t="shared" si="15"/>
        <v>1023</v>
      </c>
      <c r="B1024" s="11">
        <v>8030020155</v>
      </c>
      <c r="C1024" s="25" t="s">
        <v>476</v>
      </c>
      <c r="D1024" s="27">
        <v>2100</v>
      </c>
      <c r="E1024" s="11">
        <v>0.35</v>
      </c>
      <c r="F1024" s="11" t="s">
        <v>11</v>
      </c>
      <c r="G1024" s="44">
        <v>735</v>
      </c>
      <c r="H1024" s="28">
        <v>662.16216216216208</v>
      </c>
      <c r="I1024" s="19" t="s">
        <v>367</v>
      </c>
      <c r="J1024" s="19" t="s">
        <v>368</v>
      </c>
      <c r="K1024" s="32" t="s">
        <v>369</v>
      </c>
      <c r="L1024" s="22"/>
      <c r="M1024" s="22"/>
      <c r="N1024" s="22"/>
      <c r="O1024" s="20" t="s">
        <v>15</v>
      </c>
      <c r="P1024" s="25" t="s">
        <v>16</v>
      </c>
      <c r="Q1024" s="16">
        <v>2958465</v>
      </c>
    </row>
    <row r="1025" spans="1:17">
      <c r="A1025" s="11">
        <f t="shared" si="15"/>
        <v>1024</v>
      </c>
      <c r="B1025" s="11">
        <v>8030020158</v>
      </c>
      <c r="C1025" s="25" t="s">
        <v>477</v>
      </c>
      <c r="D1025" s="27">
        <v>1050</v>
      </c>
      <c r="E1025" s="11">
        <v>0.35</v>
      </c>
      <c r="F1025" s="11" t="s">
        <v>11</v>
      </c>
      <c r="G1025" s="44">
        <v>368</v>
      </c>
      <c r="H1025" s="28">
        <v>331.53153153153153</v>
      </c>
      <c r="I1025" s="19" t="s">
        <v>367</v>
      </c>
      <c r="J1025" s="19" t="s">
        <v>368</v>
      </c>
      <c r="K1025" s="32" t="s">
        <v>369</v>
      </c>
      <c r="L1025" s="22"/>
      <c r="M1025" s="22"/>
      <c r="N1025" s="22"/>
      <c r="O1025" s="20" t="s">
        <v>15</v>
      </c>
      <c r="P1025" s="25" t="s">
        <v>16</v>
      </c>
      <c r="Q1025" s="16">
        <v>2958465</v>
      </c>
    </row>
    <row r="1026" spans="1:17">
      <c r="A1026" s="11">
        <f t="shared" si="15"/>
        <v>1025</v>
      </c>
      <c r="B1026" s="11">
        <v>8030020159</v>
      </c>
      <c r="C1026" s="25" t="s">
        <v>478</v>
      </c>
      <c r="D1026" s="27">
        <v>1050</v>
      </c>
      <c r="E1026" s="11">
        <v>0.35</v>
      </c>
      <c r="F1026" s="11" t="s">
        <v>11</v>
      </c>
      <c r="G1026" s="44">
        <v>368</v>
      </c>
      <c r="H1026" s="28">
        <v>331.53153153153153</v>
      </c>
      <c r="I1026" s="19" t="s">
        <v>367</v>
      </c>
      <c r="J1026" s="19" t="s">
        <v>368</v>
      </c>
      <c r="K1026" s="32" t="s">
        <v>369</v>
      </c>
      <c r="L1026" s="22"/>
      <c r="M1026" s="22"/>
      <c r="N1026" s="22"/>
      <c r="O1026" s="20" t="s">
        <v>15</v>
      </c>
      <c r="P1026" s="25" t="s">
        <v>16</v>
      </c>
      <c r="Q1026" s="16">
        <v>2958465</v>
      </c>
    </row>
    <row r="1027" spans="1:17">
      <c r="A1027" s="11">
        <f t="shared" si="15"/>
        <v>1026</v>
      </c>
      <c r="B1027" s="11">
        <v>8030020160</v>
      </c>
      <c r="C1027" s="25" t="s">
        <v>479</v>
      </c>
      <c r="D1027" s="27">
        <v>1050</v>
      </c>
      <c r="E1027" s="11">
        <v>0.35</v>
      </c>
      <c r="F1027" s="11" t="s">
        <v>11</v>
      </c>
      <c r="G1027" s="44">
        <v>368</v>
      </c>
      <c r="H1027" s="28">
        <v>331.53153153153153</v>
      </c>
      <c r="I1027" s="19" t="s">
        <v>367</v>
      </c>
      <c r="J1027" s="19" t="s">
        <v>368</v>
      </c>
      <c r="K1027" s="32" t="s">
        <v>369</v>
      </c>
      <c r="L1027" s="22"/>
      <c r="M1027" s="22"/>
      <c r="N1027" s="22"/>
      <c r="O1027" s="20" t="s">
        <v>15</v>
      </c>
      <c r="P1027" s="25" t="s">
        <v>16</v>
      </c>
      <c r="Q1027" s="16">
        <v>2958465</v>
      </c>
    </row>
    <row r="1028" spans="1:17">
      <c r="A1028" s="11">
        <f t="shared" si="15"/>
        <v>1027</v>
      </c>
      <c r="B1028" s="11">
        <v>8030020167</v>
      </c>
      <c r="C1028" s="25" t="s">
        <v>457</v>
      </c>
      <c r="D1028" s="27">
        <v>12600</v>
      </c>
      <c r="E1028" s="11">
        <v>0.35</v>
      </c>
      <c r="F1028" s="11" t="s">
        <v>11</v>
      </c>
      <c r="G1028" s="44">
        <v>4410</v>
      </c>
      <c r="H1028" s="28">
        <v>3972.9729729729725</v>
      </c>
      <c r="I1028" s="19" t="s">
        <v>367</v>
      </c>
      <c r="J1028" s="19" t="s">
        <v>368</v>
      </c>
      <c r="K1028" s="32" t="s">
        <v>369</v>
      </c>
      <c r="L1028" s="22"/>
      <c r="M1028" s="22"/>
      <c r="N1028" s="22"/>
      <c r="O1028" s="20" t="s">
        <v>15</v>
      </c>
      <c r="P1028" s="25" t="s">
        <v>16</v>
      </c>
      <c r="Q1028" s="16">
        <v>2958465</v>
      </c>
    </row>
    <row r="1029" spans="1:17">
      <c r="A1029" s="11">
        <f t="shared" ref="A1029:A1092" si="16">ROW()-1</f>
        <v>1028</v>
      </c>
      <c r="B1029" s="11">
        <v>8030020168</v>
      </c>
      <c r="C1029" s="25" t="s">
        <v>435</v>
      </c>
      <c r="D1029" s="27">
        <v>11550</v>
      </c>
      <c r="E1029" s="11">
        <v>0.35</v>
      </c>
      <c r="F1029" s="11" t="s">
        <v>11</v>
      </c>
      <c r="G1029" s="44">
        <v>4043</v>
      </c>
      <c r="H1029" s="28">
        <v>3642.3423423423419</v>
      </c>
      <c r="I1029" s="19" t="s">
        <v>367</v>
      </c>
      <c r="J1029" s="19" t="s">
        <v>368</v>
      </c>
      <c r="K1029" s="32" t="s">
        <v>369</v>
      </c>
      <c r="L1029" s="22"/>
      <c r="M1029" s="22"/>
      <c r="N1029" s="22"/>
      <c r="O1029" s="20" t="s">
        <v>15</v>
      </c>
      <c r="P1029" s="25" t="s">
        <v>16</v>
      </c>
      <c r="Q1029" s="16">
        <v>2958465</v>
      </c>
    </row>
    <row r="1030" spans="1:17">
      <c r="A1030" s="11">
        <f t="shared" si="16"/>
        <v>1029</v>
      </c>
      <c r="B1030" s="11">
        <v>8030020169</v>
      </c>
      <c r="C1030" s="25" t="s">
        <v>436</v>
      </c>
      <c r="D1030" s="27">
        <v>12600</v>
      </c>
      <c r="E1030" s="11">
        <v>0.35</v>
      </c>
      <c r="F1030" s="11" t="s">
        <v>11</v>
      </c>
      <c r="G1030" s="44">
        <v>4410</v>
      </c>
      <c r="H1030" s="28">
        <v>3972.9729729729725</v>
      </c>
      <c r="I1030" s="19" t="s">
        <v>367</v>
      </c>
      <c r="J1030" s="19" t="s">
        <v>368</v>
      </c>
      <c r="K1030" s="32" t="s">
        <v>369</v>
      </c>
      <c r="L1030" s="22"/>
      <c r="M1030" s="22"/>
      <c r="N1030" s="22"/>
      <c r="O1030" s="20" t="s">
        <v>15</v>
      </c>
      <c r="P1030" s="25" t="s">
        <v>16</v>
      </c>
      <c r="Q1030" s="16">
        <v>2958465</v>
      </c>
    </row>
    <row r="1031" spans="1:17">
      <c r="A1031" s="11">
        <f t="shared" si="16"/>
        <v>1030</v>
      </c>
      <c r="B1031" s="11">
        <v>8030020170</v>
      </c>
      <c r="C1031" s="25" t="s">
        <v>437</v>
      </c>
      <c r="D1031" s="27">
        <v>2100</v>
      </c>
      <c r="E1031" s="11">
        <v>0.35</v>
      </c>
      <c r="F1031" s="11" t="s">
        <v>11</v>
      </c>
      <c r="G1031" s="44">
        <v>735</v>
      </c>
      <c r="H1031" s="28">
        <v>662.16216216216208</v>
      </c>
      <c r="I1031" s="19" t="s">
        <v>367</v>
      </c>
      <c r="J1031" s="19" t="s">
        <v>368</v>
      </c>
      <c r="K1031" s="32" t="s">
        <v>369</v>
      </c>
      <c r="L1031" s="22"/>
      <c r="M1031" s="22"/>
      <c r="N1031" s="22"/>
      <c r="O1031" s="20" t="s">
        <v>15</v>
      </c>
      <c r="P1031" s="25" t="s">
        <v>16</v>
      </c>
      <c r="Q1031" s="16">
        <v>2958465</v>
      </c>
    </row>
    <row r="1032" spans="1:17">
      <c r="A1032" s="11">
        <f t="shared" si="16"/>
        <v>1031</v>
      </c>
      <c r="B1032" s="11">
        <v>8030020171</v>
      </c>
      <c r="C1032" s="25" t="s">
        <v>438</v>
      </c>
      <c r="D1032" s="27">
        <v>2600</v>
      </c>
      <c r="E1032" s="11">
        <v>0.35</v>
      </c>
      <c r="F1032" s="11" t="s">
        <v>11</v>
      </c>
      <c r="G1032" s="44">
        <v>910</v>
      </c>
      <c r="H1032" s="28">
        <v>819.81981981981971</v>
      </c>
      <c r="I1032" s="19" t="s">
        <v>367</v>
      </c>
      <c r="J1032" s="19" t="s">
        <v>368</v>
      </c>
      <c r="K1032" s="32" t="s">
        <v>369</v>
      </c>
      <c r="L1032" s="22"/>
      <c r="M1032" s="22"/>
      <c r="N1032" s="22"/>
      <c r="O1032" s="20" t="s">
        <v>15</v>
      </c>
      <c r="P1032" s="25" t="s">
        <v>16</v>
      </c>
      <c r="Q1032" s="16">
        <v>2958465</v>
      </c>
    </row>
    <row r="1033" spans="1:17">
      <c r="A1033" s="11">
        <f t="shared" si="16"/>
        <v>1032</v>
      </c>
      <c r="B1033" s="11">
        <v>8030020172</v>
      </c>
      <c r="C1033" s="25" t="s">
        <v>439</v>
      </c>
      <c r="D1033" s="27">
        <v>3800</v>
      </c>
      <c r="E1033" s="11">
        <v>0.35</v>
      </c>
      <c r="F1033" s="11" t="s">
        <v>11</v>
      </c>
      <c r="G1033" s="44">
        <v>1330</v>
      </c>
      <c r="H1033" s="28">
        <v>1198.198198198198</v>
      </c>
      <c r="I1033" s="19" t="s">
        <v>367</v>
      </c>
      <c r="J1033" s="19" t="s">
        <v>368</v>
      </c>
      <c r="K1033" s="32" t="s">
        <v>369</v>
      </c>
      <c r="L1033" s="22"/>
      <c r="M1033" s="22"/>
      <c r="N1033" s="22"/>
      <c r="O1033" s="20" t="s">
        <v>15</v>
      </c>
      <c r="P1033" s="25" t="s">
        <v>16</v>
      </c>
      <c r="Q1033" s="16">
        <v>2958465</v>
      </c>
    </row>
    <row r="1034" spans="1:17">
      <c r="A1034" s="11">
        <f t="shared" si="16"/>
        <v>1033</v>
      </c>
      <c r="B1034" s="11">
        <v>8030020173</v>
      </c>
      <c r="C1034" s="25" t="s">
        <v>440</v>
      </c>
      <c r="D1034" s="27">
        <v>6000</v>
      </c>
      <c r="E1034" s="11">
        <v>0.35</v>
      </c>
      <c r="F1034" s="11" t="s">
        <v>11</v>
      </c>
      <c r="G1034" s="44">
        <v>2100</v>
      </c>
      <c r="H1034" s="28">
        <v>1891.8918918918916</v>
      </c>
      <c r="I1034" s="19" t="s">
        <v>367</v>
      </c>
      <c r="J1034" s="19" t="s">
        <v>368</v>
      </c>
      <c r="K1034" s="32" t="s">
        <v>369</v>
      </c>
      <c r="L1034" s="22"/>
      <c r="M1034" s="22"/>
      <c r="N1034" s="22"/>
      <c r="O1034" s="20" t="s">
        <v>15</v>
      </c>
      <c r="P1034" s="25" t="s">
        <v>16</v>
      </c>
      <c r="Q1034" s="16">
        <v>2958465</v>
      </c>
    </row>
    <row r="1035" spans="1:17">
      <c r="A1035" s="11">
        <f t="shared" si="16"/>
        <v>1034</v>
      </c>
      <c r="B1035" s="11">
        <v>8030020174</v>
      </c>
      <c r="C1035" s="25" t="s">
        <v>441</v>
      </c>
      <c r="D1035" s="27">
        <v>14900</v>
      </c>
      <c r="E1035" s="11">
        <v>0.35</v>
      </c>
      <c r="F1035" s="11" t="s">
        <v>11</v>
      </c>
      <c r="G1035" s="44">
        <v>5215</v>
      </c>
      <c r="H1035" s="28">
        <v>4698.198198198198</v>
      </c>
      <c r="I1035" s="19" t="s">
        <v>367</v>
      </c>
      <c r="J1035" s="19" t="s">
        <v>368</v>
      </c>
      <c r="K1035" s="32" t="s">
        <v>369</v>
      </c>
      <c r="L1035" s="22"/>
      <c r="M1035" s="22"/>
      <c r="N1035" s="22"/>
      <c r="O1035" s="20" t="s">
        <v>15</v>
      </c>
      <c r="P1035" s="25" t="s">
        <v>16</v>
      </c>
      <c r="Q1035" s="16">
        <v>2958465</v>
      </c>
    </row>
    <row r="1036" spans="1:17">
      <c r="A1036" s="11">
        <f t="shared" si="16"/>
        <v>1035</v>
      </c>
      <c r="B1036" s="11">
        <v>8030020175</v>
      </c>
      <c r="C1036" s="25" t="s">
        <v>442</v>
      </c>
      <c r="D1036" s="27">
        <v>11550</v>
      </c>
      <c r="E1036" s="11">
        <v>0.35</v>
      </c>
      <c r="F1036" s="11" t="s">
        <v>11</v>
      </c>
      <c r="G1036" s="44">
        <v>4043</v>
      </c>
      <c r="H1036" s="28">
        <v>3642.3423423423419</v>
      </c>
      <c r="I1036" s="19" t="s">
        <v>367</v>
      </c>
      <c r="J1036" s="19" t="s">
        <v>368</v>
      </c>
      <c r="K1036" s="32" t="s">
        <v>369</v>
      </c>
      <c r="L1036" s="22"/>
      <c r="M1036" s="22"/>
      <c r="N1036" s="22"/>
      <c r="O1036" s="20" t="s">
        <v>15</v>
      </c>
      <c r="P1036" s="25" t="s">
        <v>16</v>
      </c>
      <c r="Q1036" s="16">
        <v>2958465</v>
      </c>
    </row>
    <row r="1037" spans="1:17">
      <c r="A1037" s="11">
        <f t="shared" si="16"/>
        <v>1036</v>
      </c>
      <c r="B1037" s="11">
        <v>8030020185</v>
      </c>
      <c r="C1037" s="25" t="s">
        <v>443</v>
      </c>
      <c r="D1037" s="27">
        <v>5400</v>
      </c>
      <c r="E1037" s="11">
        <v>0.35</v>
      </c>
      <c r="F1037" s="11" t="s">
        <v>11</v>
      </c>
      <c r="G1037" s="44">
        <v>1890</v>
      </c>
      <c r="H1037" s="28">
        <v>1702.7027027027025</v>
      </c>
      <c r="I1037" s="19" t="s">
        <v>367</v>
      </c>
      <c r="J1037" s="19" t="s">
        <v>368</v>
      </c>
      <c r="K1037" s="32" t="s">
        <v>369</v>
      </c>
      <c r="L1037" s="22"/>
      <c r="M1037" s="22"/>
      <c r="N1037" s="22"/>
      <c r="O1037" s="20" t="s">
        <v>15</v>
      </c>
      <c r="P1037" s="25" t="s">
        <v>16</v>
      </c>
      <c r="Q1037" s="16">
        <v>2958465</v>
      </c>
    </row>
    <row r="1038" spans="1:17">
      <c r="A1038" s="11">
        <f t="shared" si="16"/>
        <v>1037</v>
      </c>
      <c r="B1038" s="11">
        <v>8030020186</v>
      </c>
      <c r="C1038" s="25" t="s">
        <v>444</v>
      </c>
      <c r="D1038" s="27">
        <v>8100</v>
      </c>
      <c r="E1038" s="11">
        <v>0.35</v>
      </c>
      <c r="F1038" s="11" t="s">
        <v>11</v>
      </c>
      <c r="G1038" s="44">
        <v>2835</v>
      </c>
      <c r="H1038" s="28">
        <v>2554.0540540540537</v>
      </c>
      <c r="I1038" s="19" t="s">
        <v>367</v>
      </c>
      <c r="J1038" s="19" t="s">
        <v>368</v>
      </c>
      <c r="K1038" s="32" t="s">
        <v>369</v>
      </c>
      <c r="L1038" s="22"/>
      <c r="M1038" s="22"/>
      <c r="N1038" s="22"/>
      <c r="O1038" s="20" t="s">
        <v>15</v>
      </c>
      <c r="P1038" s="25" t="s">
        <v>16</v>
      </c>
      <c r="Q1038" s="16">
        <v>2958465</v>
      </c>
    </row>
    <row r="1039" spans="1:17">
      <c r="A1039" s="11">
        <f t="shared" si="16"/>
        <v>1038</v>
      </c>
      <c r="B1039" s="11">
        <v>8030020187</v>
      </c>
      <c r="C1039" s="25" t="s">
        <v>445</v>
      </c>
      <c r="D1039" s="27">
        <v>13800</v>
      </c>
      <c r="E1039" s="11">
        <v>0.35</v>
      </c>
      <c r="F1039" s="11" t="s">
        <v>11</v>
      </c>
      <c r="G1039" s="44">
        <v>4830</v>
      </c>
      <c r="H1039" s="28">
        <v>4351.3513513513508</v>
      </c>
      <c r="I1039" s="19" t="s">
        <v>367</v>
      </c>
      <c r="J1039" s="19" t="s">
        <v>368</v>
      </c>
      <c r="K1039" s="32" t="s">
        <v>369</v>
      </c>
      <c r="L1039" s="22"/>
      <c r="M1039" s="22"/>
      <c r="N1039" s="22"/>
      <c r="O1039" s="20" t="s">
        <v>15</v>
      </c>
      <c r="P1039" s="25" t="s">
        <v>16</v>
      </c>
      <c r="Q1039" s="16">
        <v>2958465</v>
      </c>
    </row>
    <row r="1040" spans="1:17">
      <c r="A1040" s="11">
        <f t="shared" si="16"/>
        <v>1039</v>
      </c>
      <c r="B1040" s="11">
        <v>8030020191</v>
      </c>
      <c r="C1040" s="25" t="s">
        <v>446</v>
      </c>
      <c r="D1040" s="27">
        <v>10500</v>
      </c>
      <c r="E1040" s="11">
        <v>0.35</v>
      </c>
      <c r="F1040" s="11" t="s">
        <v>11</v>
      </c>
      <c r="G1040" s="44">
        <v>3675</v>
      </c>
      <c r="H1040" s="28">
        <v>3310.8108108108104</v>
      </c>
      <c r="I1040" s="19" t="s">
        <v>367</v>
      </c>
      <c r="J1040" s="19" t="s">
        <v>368</v>
      </c>
      <c r="K1040" s="32" t="s">
        <v>369</v>
      </c>
      <c r="L1040" s="22"/>
      <c r="M1040" s="22"/>
      <c r="N1040" s="22"/>
      <c r="O1040" s="20" t="s">
        <v>15</v>
      </c>
      <c r="P1040" s="25" t="s">
        <v>16</v>
      </c>
      <c r="Q1040" s="16">
        <v>2958465</v>
      </c>
    </row>
    <row r="1041" spans="1:17">
      <c r="A1041" s="11">
        <f t="shared" si="16"/>
        <v>1040</v>
      </c>
      <c r="B1041" s="11">
        <v>8030020192</v>
      </c>
      <c r="C1041" s="25" t="s">
        <v>447</v>
      </c>
      <c r="D1041" s="27">
        <v>8600</v>
      </c>
      <c r="E1041" s="11">
        <v>0.35</v>
      </c>
      <c r="F1041" s="11" t="s">
        <v>11</v>
      </c>
      <c r="G1041" s="44">
        <v>3010</v>
      </c>
      <c r="H1041" s="28">
        <v>2711.7117117117114</v>
      </c>
      <c r="I1041" s="19" t="s">
        <v>367</v>
      </c>
      <c r="J1041" s="19" t="s">
        <v>368</v>
      </c>
      <c r="K1041" s="32" t="s">
        <v>369</v>
      </c>
      <c r="L1041" s="22"/>
      <c r="M1041" s="22"/>
      <c r="N1041" s="22"/>
      <c r="O1041" s="20" t="s">
        <v>15</v>
      </c>
      <c r="P1041" s="25" t="s">
        <v>16</v>
      </c>
      <c r="Q1041" s="16">
        <v>2958465</v>
      </c>
    </row>
    <row r="1042" spans="1:17">
      <c r="A1042" s="11">
        <f t="shared" si="16"/>
        <v>1041</v>
      </c>
      <c r="B1042" s="11">
        <v>8030020193</v>
      </c>
      <c r="C1042" s="25" t="s">
        <v>448</v>
      </c>
      <c r="D1042" s="27">
        <v>9600</v>
      </c>
      <c r="E1042" s="11">
        <v>0.35</v>
      </c>
      <c r="F1042" s="11" t="s">
        <v>11</v>
      </c>
      <c r="G1042" s="44">
        <v>3360</v>
      </c>
      <c r="H1042" s="28">
        <v>3027.0270270270266</v>
      </c>
      <c r="I1042" s="19" t="s">
        <v>367</v>
      </c>
      <c r="J1042" s="19" t="s">
        <v>368</v>
      </c>
      <c r="K1042" s="32" t="s">
        <v>369</v>
      </c>
      <c r="L1042" s="22"/>
      <c r="M1042" s="22"/>
      <c r="N1042" s="22"/>
      <c r="O1042" s="20" t="s">
        <v>15</v>
      </c>
      <c r="P1042" s="25" t="s">
        <v>16</v>
      </c>
      <c r="Q1042" s="16">
        <v>2958465</v>
      </c>
    </row>
    <row r="1043" spans="1:17">
      <c r="A1043" s="11">
        <f t="shared" si="16"/>
        <v>1042</v>
      </c>
      <c r="B1043" s="11">
        <v>8030020202</v>
      </c>
      <c r="C1043" s="25" t="s">
        <v>449</v>
      </c>
      <c r="D1043" s="27">
        <v>2000</v>
      </c>
      <c r="E1043" s="11">
        <v>0.35</v>
      </c>
      <c r="F1043" s="11" t="s">
        <v>11</v>
      </c>
      <c r="G1043" s="44">
        <v>700</v>
      </c>
      <c r="H1043" s="28">
        <v>630.63063063063055</v>
      </c>
      <c r="I1043" s="19" t="s">
        <v>367</v>
      </c>
      <c r="J1043" s="19" t="s">
        <v>368</v>
      </c>
      <c r="K1043" s="32" t="s">
        <v>369</v>
      </c>
      <c r="L1043" s="22"/>
      <c r="M1043" s="22"/>
      <c r="N1043" s="22"/>
      <c r="O1043" s="20" t="s">
        <v>15</v>
      </c>
      <c r="P1043" s="25" t="s">
        <v>16</v>
      </c>
      <c r="Q1043" s="16">
        <v>2958465</v>
      </c>
    </row>
    <row r="1044" spans="1:17">
      <c r="A1044" s="11">
        <f t="shared" si="16"/>
        <v>1043</v>
      </c>
      <c r="B1044" s="11">
        <v>8030020203</v>
      </c>
      <c r="C1044" s="25" t="s">
        <v>450</v>
      </c>
      <c r="D1044" s="27">
        <v>3200</v>
      </c>
      <c r="E1044" s="11">
        <v>0.35</v>
      </c>
      <c r="F1044" s="11" t="s">
        <v>11</v>
      </c>
      <c r="G1044" s="44">
        <v>1120</v>
      </c>
      <c r="H1044" s="28">
        <v>1009.0090090090089</v>
      </c>
      <c r="I1044" s="19" t="s">
        <v>367</v>
      </c>
      <c r="J1044" s="19" t="s">
        <v>368</v>
      </c>
      <c r="K1044" s="32" t="s">
        <v>369</v>
      </c>
      <c r="L1044" s="22"/>
      <c r="M1044" s="22"/>
      <c r="N1044" s="22"/>
      <c r="O1044" s="20" t="s">
        <v>15</v>
      </c>
      <c r="P1044" s="25" t="s">
        <v>16</v>
      </c>
      <c r="Q1044" s="16">
        <v>2958465</v>
      </c>
    </row>
    <row r="1045" spans="1:17">
      <c r="A1045" s="11">
        <f t="shared" si="16"/>
        <v>1044</v>
      </c>
      <c r="B1045" s="11">
        <v>8030020204</v>
      </c>
      <c r="C1045" s="25" t="s">
        <v>451</v>
      </c>
      <c r="D1045" s="27">
        <v>5700</v>
      </c>
      <c r="E1045" s="11">
        <v>0.35</v>
      </c>
      <c r="F1045" s="11" t="s">
        <v>11</v>
      </c>
      <c r="G1045" s="44">
        <v>1995</v>
      </c>
      <c r="H1045" s="28">
        <v>1797.2972972972971</v>
      </c>
      <c r="I1045" s="19" t="s">
        <v>367</v>
      </c>
      <c r="J1045" s="19" t="s">
        <v>368</v>
      </c>
      <c r="K1045" s="32" t="s">
        <v>369</v>
      </c>
      <c r="L1045" s="22"/>
      <c r="M1045" s="22"/>
      <c r="N1045" s="22"/>
      <c r="O1045" s="20" t="s">
        <v>15</v>
      </c>
      <c r="P1045" s="25" t="s">
        <v>16</v>
      </c>
      <c r="Q1045" s="16">
        <v>2958465</v>
      </c>
    </row>
    <row r="1046" spans="1:17">
      <c r="A1046" s="11">
        <f t="shared" si="16"/>
        <v>1045</v>
      </c>
      <c r="B1046" s="11">
        <v>8030020205</v>
      </c>
      <c r="C1046" s="25" t="s">
        <v>452</v>
      </c>
      <c r="D1046" s="27">
        <v>13000</v>
      </c>
      <c r="E1046" s="11">
        <v>0.35</v>
      </c>
      <c r="F1046" s="11" t="s">
        <v>11</v>
      </c>
      <c r="G1046" s="44">
        <v>4550</v>
      </c>
      <c r="H1046" s="28">
        <v>4099.0990990990986</v>
      </c>
      <c r="I1046" s="19" t="s">
        <v>367</v>
      </c>
      <c r="J1046" s="19" t="s">
        <v>368</v>
      </c>
      <c r="K1046" s="32" t="s">
        <v>369</v>
      </c>
      <c r="L1046" s="22"/>
      <c r="M1046" s="22"/>
      <c r="N1046" s="22"/>
      <c r="O1046" s="20" t="s">
        <v>15</v>
      </c>
      <c r="P1046" s="25" t="s">
        <v>16</v>
      </c>
      <c r="Q1046" s="16">
        <v>2958465</v>
      </c>
    </row>
    <row r="1047" spans="1:17">
      <c r="A1047" s="11">
        <f t="shared" si="16"/>
        <v>1046</v>
      </c>
      <c r="B1047" s="11">
        <v>8030020206</v>
      </c>
      <c r="C1047" s="25" t="s">
        <v>453</v>
      </c>
      <c r="D1047" s="27">
        <v>1050</v>
      </c>
      <c r="E1047" s="11">
        <v>0.35</v>
      </c>
      <c r="F1047" s="11" t="s">
        <v>11</v>
      </c>
      <c r="G1047" s="44">
        <v>368</v>
      </c>
      <c r="H1047" s="28">
        <v>331.53153153153153</v>
      </c>
      <c r="I1047" s="19" t="s">
        <v>367</v>
      </c>
      <c r="J1047" s="19" t="s">
        <v>368</v>
      </c>
      <c r="K1047" s="32" t="s">
        <v>369</v>
      </c>
      <c r="L1047" s="22"/>
      <c r="M1047" s="22"/>
      <c r="N1047" s="22"/>
      <c r="O1047" s="20" t="s">
        <v>15</v>
      </c>
      <c r="P1047" s="25" t="s">
        <v>16</v>
      </c>
      <c r="Q1047" s="16">
        <v>2958465</v>
      </c>
    </row>
    <row r="1048" spans="1:17">
      <c r="A1048" s="11">
        <f t="shared" si="16"/>
        <v>1047</v>
      </c>
      <c r="B1048" s="11">
        <v>8030020207</v>
      </c>
      <c r="C1048" s="25" t="s">
        <v>454</v>
      </c>
      <c r="D1048" s="27">
        <v>1500</v>
      </c>
      <c r="E1048" s="11">
        <v>0.35</v>
      </c>
      <c r="F1048" s="11" t="s">
        <v>11</v>
      </c>
      <c r="G1048" s="44">
        <v>525</v>
      </c>
      <c r="H1048" s="28">
        <v>472.97297297297291</v>
      </c>
      <c r="I1048" s="19" t="s">
        <v>367</v>
      </c>
      <c r="J1048" s="19" t="s">
        <v>368</v>
      </c>
      <c r="K1048" s="32" t="s">
        <v>369</v>
      </c>
      <c r="L1048" s="22"/>
      <c r="M1048" s="22"/>
      <c r="N1048" s="22"/>
      <c r="O1048" s="20" t="s">
        <v>15</v>
      </c>
      <c r="P1048" s="25" t="s">
        <v>16</v>
      </c>
      <c r="Q1048" s="16">
        <v>2958465</v>
      </c>
    </row>
    <row r="1049" spans="1:17">
      <c r="A1049" s="11">
        <f t="shared" si="16"/>
        <v>1048</v>
      </c>
      <c r="B1049" s="11">
        <v>8030020208</v>
      </c>
      <c r="C1049" s="25" t="s">
        <v>455</v>
      </c>
      <c r="D1049" s="27">
        <v>2600</v>
      </c>
      <c r="E1049" s="11">
        <v>0.35</v>
      </c>
      <c r="F1049" s="11" t="s">
        <v>11</v>
      </c>
      <c r="G1049" s="44">
        <v>910</v>
      </c>
      <c r="H1049" s="28">
        <v>819.81981981981971</v>
      </c>
      <c r="I1049" s="19" t="s">
        <v>367</v>
      </c>
      <c r="J1049" s="19" t="s">
        <v>368</v>
      </c>
      <c r="K1049" s="32" t="s">
        <v>369</v>
      </c>
      <c r="L1049" s="22"/>
      <c r="M1049" s="22"/>
      <c r="N1049" s="22"/>
      <c r="O1049" s="20" t="s">
        <v>15</v>
      </c>
      <c r="P1049" s="25" t="s">
        <v>16</v>
      </c>
      <c r="Q1049" s="16">
        <v>2958465</v>
      </c>
    </row>
    <row r="1050" spans="1:17">
      <c r="A1050" s="11">
        <f t="shared" si="16"/>
        <v>1049</v>
      </c>
      <c r="B1050" s="11">
        <v>8030020209</v>
      </c>
      <c r="C1050" s="25" t="s">
        <v>456</v>
      </c>
      <c r="D1050" s="27">
        <v>4200</v>
      </c>
      <c r="E1050" s="11">
        <v>0.35</v>
      </c>
      <c r="F1050" s="11" t="s">
        <v>11</v>
      </c>
      <c r="G1050" s="44">
        <v>1470</v>
      </c>
      <c r="H1050" s="28">
        <v>1324.3243243243242</v>
      </c>
      <c r="I1050" s="19" t="s">
        <v>367</v>
      </c>
      <c r="J1050" s="19" t="s">
        <v>368</v>
      </c>
      <c r="K1050" s="32" t="s">
        <v>369</v>
      </c>
      <c r="L1050" s="22"/>
      <c r="M1050" s="22"/>
      <c r="N1050" s="22"/>
      <c r="O1050" s="20" t="s">
        <v>15</v>
      </c>
      <c r="P1050" s="25" t="s">
        <v>16</v>
      </c>
      <c r="Q1050" s="16">
        <v>2958465</v>
      </c>
    </row>
    <row r="1051" spans="1:17">
      <c r="A1051" s="11">
        <f t="shared" si="16"/>
        <v>1050</v>
      </c>
      <c r="B1051" s="11">
        <v>8030020210</v>
      </c>
      <c r="C1051" s="25" t="s">
        <v>480</v>
      </c>
      <c r="D1051" s="27">
        <v>10000</v>
      </c>
      <c r="E1051" s="11">
        <v>0.35</v>
      </c>
      <c r="F1051" s="11" t="s">
        <v>11</v>
      </c>
      <c r="G1051" s="44">
        <v>3500</v>
      </c>
      <c r="H1051" s="28">
        <v>3153.1531531531527</v>
      </c>
      <c r="I1051" s="19" t="s">
        <v>367</v>
      </c>
      <c r="J1051" s="19" t="s">
        <v>368</v>
      </c>
      <c r="K1051" s="32" t="s">
        <v>369</v>
      </c>
      <c r="L1051" s="22"/>
      <c r="M1051" s="22"/>
      <c r="N1051" s="22"/>
      <c r="O1051" s="20" t="s">
        <v>15</v>
      </c>
      <c r="P1051" s="25" t="s">
        <v>16</v>
      </c>
      <c r="Q1051" s="16">
        <v>2958465</v>
      </c>
    </row>
    <row r="1052" spans="1:17">
      <c r="A1052" s="11">
        <f t="shared" si="16"/>
        <v>1051</v>
      </c>
      <c r="B1052" s="11">
        <v>8030020211</v>
      </c>
      <c r="C1052" s="25" t="s">
        <v>501</v>
      </c>
      <c r="D1052" s="27">
        <v>8400</v>
      </c>
      <c r="E1052" s="11">
        <v>0.35</v>
      </c>
      <c r="F1052" s="11" t="s">
        <v>11</v>
      </c>
      <c r="G1052" s="44">
        <v>2940</v>
      </c>
      <c r="H1052" s="28">
        <v>2648.6486486486483</v>
      </c>
      <c r="I1052" s="19" t="s">
        <v>367</v>
      </c>
      <c r="J1052" s="19" t="s">
        <v>368</v>
      </c>
      <c r="K1052" s="32" t="s">
        <v>369</v>
      </c>
      <c r="L1052" s="22"/>
      <c r="M1052" s="22"/>
      <c r="N1052" s="22"/>
      <c r="O1052" s="20" t="s">
        <v>15</v>
      </c>
      <c r="P1052" s="25" t="s">
        <v>16</v>
      </c>
      <c r="Q1052" s="16">
        <v>2958465</v>
      </c>
    </row>
    <row r="1053" spans="1:17">
      <c r="A1053" s="11">
        <f t="shared" si="16"/>
        <v>1052</v>
      </c>
      <c r="B1053" s="11">
        <v>8030020212</v>
      </c>
      <c r="C1053" s="25" t="s">
        <v>502</v>
      </c>
      <c r="D1053" s="27">
        <v>14700</v>
      </c>
      <c r="E1053" s="11">
        <v>0.35</v>
      </c>
      <c r="F1053" s="11" t="s">
        <v>11</v>
      </c>
      <c r="G1053" s="44">
        <v>5145</v>
      </c>
      <c r="H1053" s="28">
        <v>4635.135135135135</v>
      </c>
      <c r="I1053" s="19" t="s">
        <v>367</v>
      </c>
      <c r="J1053" s="19" t="s">
        <v>368</v>
      </c>
      <c r="K1053" s="32" t="s">
        <v>369</v>
      </c>
      <c r="L1053" s="22"/>
      <c r="M1053" s="22"/>
      <c r="N1053" s="22"/>
      <c r="O1053" s="20" t="s">
        <v>15</v>
      </c>
      <c r="P1053" s="25" t="s">
        <v>16</v>
      </c>
      <c r="Q1053" s="16">
        <v>2958465</v>
      </c>
    </row>
    <row r="1054" spans="1:17">
      <c r="A1054" s="11">
        <f t="shared" si="16"/>
        <v>1053</v>
      </c>
      <c r="B1054" s="11">
        <v>8030020221</v>
      </c>
      <c r="C1054" s="25" t="s">
        <v>503</v>
      </c>
      <c r="D1054" s="27">
        <v>2600</v>
      </c>
      <c r="E1054" s="11">
        <v>0.35</v>
      </c>
      <c r="F1054" s="11" t="s">
        <v>11</v>
      </c>
      <c r="G1054" s="44">
        <v>910</v>
      </c>
      <c r="H1054" s="28">
        <v>819.81981981981971</v>
      </c>
      <c r="I1054" s="19" t="s">
        <v>367</v>
      </c>
      <c r="J1054" s="19" t="s">
        <v>368</v>
      </c>
      <c r="K1054" s="32" t="s">
        <v>369</v>
      </c>
      <c r="L1054" s="22"/>
      <c r="M1054" s="22"/>
      <c r="N1054" s="22"/>
      <c r="O1054" s="20" t="s">
        <v>15</v>
      </c>
      <c r="P1054" s="25" t="s">
        <v>16</v>
      </c>
      <c r="Q1054" s="16">
        <v>2958465</v>
      </c>
    </row>
    <row r="1055" spans="1:17">
      <c r="A1055" s="11">
        <f t="shared" si="16"/>
        <v>1054</v>
      </c>
      <c r="B1055" s="11">
        <v>8030020222</v>
      </c>
      <c r="C1055" s="25" t="s">
        <v>504</v>
      </c>
      <c r="D1055" s="27">
        <v>3300</v>
      </c>
      <c r="E1055" s="11">
        <v>0.35</v>
      </c>
      <c r="F1055" s="11" t="s">
        <v>11</v>
      </c>
      <c r="G1055" s="44">
        <v>1155</v>
      </c>
      <c r="H1055" s="28">
        <v>1040.5405405405404</v>
      </c>
      <c r="I1055" s="19" t="s">
        <v>367</v>
      </c>
      <c r="J1055" s="19" t="s">
        <v>368</v>
      </c>
      <c r="K1055" s="32" t="s">
        <v>369</v>
      </c>
      <c r="L1055" s="22"/>
      <c r="M1055" s="22"/>
      <c r="N1055" s="22"/>
      <c r="O1055" s="20" t="s">
        <v>15</v>
      </c>
      <c r="P1055" s="25" t="s">
        <v>16</v>
      </c>
      <c r="Q1055" s="16">
        <v>2958465</v>
      </c>
    </row>
    <row r="1056" spans="1:17">
      <c r="A1056" s="11">
        <f t="shared" si="16"/>
        <v>1055</v>
      </c>
      <c r="B1056" s="11">
        <v>8030020223</v>
      </c>
      <c r="C1056" s="25" t="s">
        <v>505</v>
      </c>
      <c r="D1056" s="27">
        <v>7100</v>
      </c>
      <c r="E1056" s="11">
        <v>0.35</v>
      </c>
      <c r="F1056" s="11" t="s">
        <v>11</v>
      </c>
      <c r="G1056" s="44">
        <v>2485</v>
      </c>
      <c r="H1056" s="28">
        <v>2238.7387387387384</v>
      </c>
      <c r="I1056" s="19" t="s">
        <v>367</v>
      </c>
      <c r="J1056" s="19" t="s">
        <v>368</v>
      </c>
      <c r="K1056" s="32" t="s">
        <v>369</v>
      </c>
      <c r="L1056" s="22"/>
      <c r="M1056" s="22"/>
      <c r="N1056" s="22"/>
      <c r="O1056" s="20" t="s">
        <v>15</v>
      </c>
      <c r="P1056" s="25" t="s">
        <v>16</v>
      </c>
      <c r="Q1056" s="16">
        <v>2958465</v>
      </c>
    </row>
    <row r="1057" spans="1:17">
      <c r="A1057" s="11">
        <f t="shared" si="16"/>
        <v>1056</v>
      </c>
      <c r="B1057" s="11">
        <v>8030020224</v>
      </c>
      <c r="C1057" s="25" t="s">
        <v>506</v>
      </c>
      <c r="D1057" s="27">
        <v>17200</v>
      </c>
      <c r="E1057" s="11">
        <v>0.35</v>
      </c>
      <c r="F1057" s="11" t="s">
        <v>11</v>
      </c>
      <c r="G1057" s="44">
        <v>6020</v>
      </c>
      <c r="H1057" s="28">
        <v>5423.4234234234227</v>
      </c>
      <c r="I1057" s="19" t="s">
        <v>367</v>
      </c>
      <c r="J1057" s="19" t="s">
        <v>368</v>
      </c>
      <c r="K1057" s="32" t="s">
        <v>369</v>
      </c>
      <c r="L1057" s="22"/>
      <c r="M1057" s="22"/>
      <c r="N1057" s="22"/>
      <c r="O1057" s="20" t="s">
        <v>15</v>
      </c>
      <c r="P1057" s="25" t="s">
        <v>16</v>
      </c>
      <c r="Q1057" s="16">
        <v>2958465</v>
      </c>
    </row>
    <row r="1058" spans="1:17">
      <c r="A1058" s="11">
        <f t="shared" si="16"/>
        <v>1057</v>
      </c>
      <c r="B1058" s="11">
        <v>8030020225</v>
      </c>
      <c r="C1058" s="25" t="s">
        <v>507</v>
      </c>
      <c r="D1058" s="27">
        <v>15750</v>
      </c>
      <c r="E1058" s="11">
        <v>0.35</v>
      </c>
      <c r="F1058" s="11" t="s">
        <v>11</v>
      </c>
      <c r="G1058" s="44">
        <v>5513</v>
      </c>
      <c r="H1058" s="28">
        <v>4966.6666666666661</v>
      </c>
      <c r="I1058" s="19" t="s">
        <v>367</v>
      </c>
      <c r="J1058" s="19" t="s">
        <v>368</v>
      </c>
      <c r="K1058" s="32" t="s">
        <v>369</v>
      </c>
      <c r="L1058" s="22"/>
      <c r="M1058" s="22"/>
      <c r="N1058" s="22"/>
      <c r="O1058" s="20" t="s">
        <v>15</v>
      </c>
      <c r="P1058" s="25" t="s">
        <v>16</v>
      </c>
      <c r="Q1058" s="16">
        <v>2958465</v>
      </c>
    </row>
    <row r="1059" spans="1:17">
      <c r="A1059" s="11">
        <f t="shared" si="16"/>
        <v>1058</v>
      </c>
      <c r="B1059" s="11">
        <v>8030020231</v>
      </c>
      <c r="C1059" s="25" t="s">
        <v>508</v>
      </c>
      <c r="D1059" s="27">
        <v>10500</v>
      </c>
      <c r="E1059" s="11">
        <v>0.35</v>
      </c>
      <c r="F1059" s="11" t="s">
        <v>11</v>
      </c>
      <c r="G1059" s="44">
        <v>3675</v>
      </c>
      <c r="H1059" s="28">
        <v>3310.8108108108104</v>
      </c>
      <c r="I1059" s="19" t="s">
        <v>367</v>
      </c>
      <c r="J1059" s="19" t="s">
        <v>368</v>
      </c>
      <c r="K1059" s="32" t="s">
        <v>369</v>
      </c>
      <c r="L1059" s="22"/>
      <c r="M1059" s="22"/>
      <c r="N1059" s="22"/>
      <c r="O1059" s="20" t="s">
        <v>15</v>
      </c>
      <c r="P1059" s="25" t="s">
        <v>16</v>
      </c>
      <c r="Q1059" s="16">
        <v>2958465</v>
      </c>
    </row>
    <row r="1060" spans="1:17">
      <c r="A1060" s="11">
        <f t="shared" si="16"/>
        <v>1059</v>
      </c>
      <c r="B1060" s="11">
        <v>8030020232</v>
      </c>
      <c r="C1060" s="25" t="s">
        <v>509</v>
      </c>
      <c r="D1060" s="27">
        <v>7700</v>
      </c>
      <c r="E1060" s="11">
        <v>0.35</v>
      </c>
      <c r="F1060" s="11" t="s">
        <v>11</v>
      </c>
      <c r="G1060" s="44">
        <v>2695</v>
      </c>
      <c r="H1060" s="28">
        <v>2427.9279279279276</v>
      </c>
      <c r="I1060" s="19" t="s">
        <v>367</v>
      </c>
      <c r="J1060" s="19" t="s">
        <v>368</v>
      </c>
      <c r="K1060" s="32" t="s">
        <v>369</v>
      </c>
      <c r="L1060" s="22"/>
      <c r="M1060" s="22"/>
      <c r="N1060" s="22"/>
      <c r="O1060" s="20" t="s">
        <v>15</v>
      </c>
      <c r="P1060" s="25" t="s">
        <v>16</v>
      </c>
      <c r="Q1060" s="16">
        <v>2958465</v>
      </c>
    </row>
    <row r="1061" spans="1:17">
      <c r="A1061" s="11">
        <f t="shared" si="16"/>
        <v>1060</v>
      </c>
      <c r="B1061" s="11">
        <v>8030020233</v>
      </c>
      <c r="C1061" s="25" t="s">
        <v>510</v>
      </c>
      <c r="D1061" s="27">
        <v>8300</v>
      </c>
      <c r="E1061" s="11">
        <v>0.35</v>
      </c>
      <c r="F1061" s="11" t="s">
        <v>11</v>
      </c>
      <c r="G1061" s="44">
        <v>2905</v>
      </c>
      <c r="H1061" s="28">
        <v>2617.1171171171168</v>
      </c>
      <c r="I1061" s="19" t="s">
        <v>367</v>
      </c>
      <c r="J1061" s="19" t="s">
        <v>368</v>
      </c>
      <c r="K1061" s="32" t="s">
        <v>369</v>
      </c>
      <c r="L1061" s="22"/>
      <c r="M1061" s="22"/>
      <c r="N1061" s="22"/>
      <c r="O1061" s="20" t="s">
        <v>15</v>
      </c>
      <c r="P1061" s="25" t="s">
        <v>16</v>
      </c>
      <c r="Q1061" s="16">
        <v>2958465</v>
      </c>
    </row>
    <row r="1062" spans="1:17">
      <c r="A1062" s="11">
        <f t="shared" si="16"/>
        <v>1061</v>
      </c>
      <c r="B1062" s="11">
        <v>8030020239</v>
      </c>
      <c r="C1062" s="25" t="s">
        <v>511</v>
      </c>
      <c r="D1062" s="27">
        <v>10500</v>
      </c>
      <c r="E1062" s="11">
        <v>0.35</v>
      </c>
      <c r="F1062" s="11" t="s">
        <v>11</v>
      </c>
      <c r="G1062" s="44">
        <v>3675</v>
      </c>
      <c r="H1062" s="28">
        <v>3310.8108108108104</v>
      </c>
      <c r="I1062" s="19" t="s">
        <v>367</v>
      </c>
      <c r="J1062" s="19" t="s">
        <v>368</v>
      </c>
      <c r="K1062" s="32" t="s">
        <v>369</v>
      </c>
      <c r="L1062" s="22"/>
      <c r="M1062" s="22"/>
      <c r="N1062" s="22"/>
      <c r="O1062" s="20" t="s">
        <v>15</v>
      </c>
      <c r="P1062" s="25" t="s">
        <v>16</v>
      </c>
      <c r="Q1062" s="16">
        <v>2958465</v>
      </c>
    </row>
    <row r="1063" spans="1:17">
      <c r="A1063" s="11">
        <f t="shared" si="16"/>
        <v>1062</v>
      </c>
      <c r="B1063" s="11">
        <v>8030020240</v>
      </c>
      <c r="C1063" s="25" t="s">
        <v>512</v>
      </c>
      <c r="D1063" s="27">
        <v>8300</v>
      </c>
      <c r="E1063" s="11">
        <v>0.35</v>
      </c>
      <c r="F1063" s="11" t="s">
        <v>11</v>
      </c>
      <c r="G1063" s="44">
        <v>2905</v>
      </c>
      <c r="H1063" s="28">
        <v>2617.1171171171168</v>
      </c>
      <c r="I1063" s="19" t="s">
        <v>367</v>
      </c>
      <c r="J1063" s="19" t="s">
        <v>368</v>
      </c>
      <c r="K1063" s="32" t="s">
        <v>369</v>
      </c>
      <c r="L1063" s="22"/>
      <c r="M1063" s="22"/>
      <c r="N1063" s="22"/>
      <c r="O1063" s="20" t="s">
        <v>15</v>
      </c>
      <c r="P1063" s="25" t="s">
        <v>16</v>
      </c>
      <c r="Q1063" s="16">
        <v>2958465</v>
      </c>
    </row>
    <row r="1064" spans="1:17">
      <c r="A1064" s="11">
        <f t="shared" si="16"/>
        <v>1063</v>
      </c>
      <c r="B1064" s="11">
        <v>8030020241</v>
      </c>
      <c r="C1064" s="25" t="s">
        <v>513</v>
      </c>
      <c r="D1064" s="27">
        <v>9000</v>
      </c>
      <c r="E1064" s="11">
        <v>0.35</v>
      </c>
      <c r="F1064" s="11" t="s">
        <v>11</v>
      </c>
      <c r="G1064" s="44">
        <v>3150</v>
      </c>
      <c r="H1064" s="28">
        <v>2837.8378378378375</v>
      </c>
      <c r="I1064" s="19" t="s">
        <v>367</v>
      </c>
      <c r="J1064" s="19" t="s">
        <v>368</v>
      </c>
      <c r="K1064" s="32" t="s">
        <v>369</v>
      </c>
      <c r="L1064" s="22"/>
      <c r="M1064" s="22"/>
      <c r="N1064" s="22"/>
      <c r="O1064" s="20" t="s">
        <v>15</v>
      </c>
      <c r="P1064" s="25" t="s">
        <v>16</v>
      </c>
      <c r="Q1064" s="16">
        <v>2958465</v>
      </c>
    </row>
    <row r="1065" spans="1:17">
      <c r="A1065" s="11">
        <f t="shared" si="16"/>
        <v>1064</v>
      </c>
      <c r="B1065" s="11">
        <v>8030020247</v>
      </c>
      <c r="C1065" s="25" t="s">
        <v>514</v>
      </c>
      <c r="D1065" s="27">
        <v>10500</v>
      </c>
      <c r="E1065" s="11">
        <v>0.35</v>
      </c>
      <c r="F1065" s="11" t="s">
        <v>11</v>
      </c>
      <c r="G1065" s="44">
        <v>3675</v>
      </c>
      <c r="H1065" s="28">
        <v>3310.8108108108104</v>
      </c>
      <c r="I1065" s="19" t="s">
        <v>367</v>
      </c>
      <c r="J1065" s="19" t="s">
        <v>368</v>
      </c>
      <c r="K1065" s="32" t="s">
        <v>369</v>
      </c>
      <c r="L1065" s="22"/>
      <c r="M1065" s="22"/>
      <c r="N1065" s="22"/>
      <c r="O1065" s="20" t="s">
        <v>15</v>
      </c>
      <c r="P1065" s="25" t="s">
        <v>16</v>
      </c>
      <c r="Q1065" s="16">
        <v>2958465</v>
      </c>
    </row>
    <row r="1066" spans="1:17">
      <c r="A1066" s="11">
        <f t="shared" si="16"/>
        <v>1065</v>
      </c>
      <c r="B1066" s="11">
        <v>8030020248</v>
      </c>
      <c r="C1066" s="25" t="s">
        <v>515</v>
      </c>
      <c r="D1066" s="27">
        <v>11000</v>
      </c>
      <c r="E1066" s="11">
        <v>0.35</v>
      </c>
      <c r="F1066" s="11" t="s">
        <v>11</v>
      </c>
      <c r="G1066" s="44">
        <v>3850</v>
      </c>
      <c r="H1066" s="28">
        <v>3468.468468468468</v>
      </c>
      <c r="I1066" s="19" t="s">
        <v>367</v>
      </c>
      <c r="J1066" s="19" t="s">
        <v>368</v>
      </c>
      <c r="K1066" s="32" t="s">
        <v>369</v>
      </c>
      <c r="L1066" s="22"/>
      <c r="M1066" s="22"/>
      <c r="N1066" s="22"/>
      <c r="O1066" s="20" t="s">
        <v>15</v>
      </c>
      <c r="P1066" s="25" t="s">
        <v>16</v>
      </c>
      <c r="Q1066" s="16">
        <v>2958465</v>
      </c>
    </row>
    <row r="1067" spans="1:17">
      <c r="A1067" s="11">
        <f t="shared" si="16"/>
        <v>1066</v>
      </c>
      <c r="B1067" s="11">
        <v>8030020249</v>
      </c>
      <c r="C1067" s="25" t="s">
        <v>516</v>
      </c>
      <c r="D1067" s="27">
        <v>13300</v>
      </c>
      <c r="E1067" s="11">
        <v>0.35</v>
      </c>
      <c r="F1067" s="11" t="s">
        <v>11</v>
      </c>
      <c r="G1067" s="44">
        <v>4655</v>
      </c>
      <c r="H1067" s="28">
        <v>4193.6936936936936</v>
      </c>
      <c r="I1067" s="19" t="s">
        <v>367</v>
      </c>
      <c r="J1067" s="19" t="s">
        <v>368</v>
      </c>
      <c r="K1067" s="32" t="s">
        <v>369</v>
      </c>
      <c r="L1067" s="22"/>
      <c r="M1067" s="22"/>
      <c r="N1067" s="22"/>
      <c r="O1067" s="20" t="s">
        <v>15</v>
      </c>
      <c r="P1067" s="25" t="s">
        <v>16</v>
      </c>
      <c r="Q1067" s="16">
        <v>2958465</v>
      </c>
    </row>
    <row r="1068" spans="1:17">
      <c r="A1068" s="11">
        <f t="shared" si="16"/>
        <v>1067</v>
      </c>
      <c r="B1068" s="11">
        <v>8030020255</v>
      </c>
      <c r="C1068" s="25" t="s">
        <v>535</v>
      </c>
      <c r="D1068" s="27">
        <v>1375</v>
      </c>
      <c r="E1068" s="11">
        <v>0.28999999999999998</v>
      </c>
      <c r="F1068" s="11" t="s">
        <v>11</v>
      </c>
      <c r="G1068" s="44">
        <v>399</v>
      </c>
      <c r="H1068" s="28">
        <v>359.45945945945942</v>
      </c>
      <c r="I1068" s="19" t="s">
        <v>367</v>
      </c>
      <c r="J1068" s="19" t="s">
        <v>368</v>
      </c>
      <c r="K1068" s="32" t="s">
        <v>532</v>
      </c>
      <c r="L1068" s="22"/>
      <c r="M1068" s="22"/>
      <c r="N1068" s="22"/>
      <c r="O1068" s="20" t="s">
        <v>15</v>
      </c>
      <c r="P1068" s="25" t="s">
        <v>16</v>
      </c>
      <c r="Q1068" s="16">
        <v>2958465</v>
      </c>
    </row>
    <row r="1069" spans="1:17">
      <c r="A1069" s="11">
        <f t="shared" si="16"/>
        <v>1068</v>
      </c>
      <c r="B1069" s="11">
        <v>8030020257</v>
      </c>
      <c r="C1069" s="25" t="s">
        <v>517</v>
      </c>
      <c r="D1069" s="27">
        <v>8100</v>
      </c>
      <c r="E1069" s="11">
        <v>0.35</v>
      </c>
      <c r="F1069" s="11" t="s">
        <v>11</v>
      </c>
      <c r="G1069" s="44">
        <v>2835</v>
      </c>
      <c r="H1069" s="28">
        <v>2554.0540540540537</v>
      </c>
      <c r="I1069" s="19" t="s">
        <v>367</v>
      </c>
      <c r="J1069" s="19" t="s">
        <v>368</v>
      </c>
      <c r="K1069" s="32" t="s">
        <v>369</v>
      </c>
      <c r="L1069" s="22"/>
      <c r="M1069" s="22"/>
      <c r="N1069" s="22"/>
      <c r="O1069" s="20" t="s">
        <v>15</v>
      </c>
      <c r="P1069" s="25" t="s">
        <v>16</v>
      </c>
      <c r="Q1069" s="16">
        <v>2958465</v>
      </c>
    </row>
    <row r="1070" spans="1:17">
      <c r="A1070" s="11">
        <f t="shared" si="16"/>
        <v>1069</v>
      </c>
      <c r="B1070" s="11">
        <v>8030020258</v>
      </c>
      <c r="C1070" s="25" t="s">
        <v>518</v>
      </c>
      <c r="D1070" s="27">
        <v>8900</v>
      </c>
      <c r="E1070" s="11">
        <v>0.35</v>
      </c>
      <c r="F1070" s="11" t="s">
        <v>11</v>
      </c>
      <c r="G1070" s="44">
        <v>3115</v>
      </c>
      <c r="H1070" s="28">
        <v>2806.3063063063059</v>
      </c>
      <c r="I1070" s="19" t="s">
        <v>367</v>
      </c>
      <c r="J1070" s="19" t="s">
        <v>368</v>
      </c>
      <c r="K1070" s="32" t="s">
        <v>369</v>
      </c>
      <c r="L1070" s="22"/>
      <c r="M1070" s="22"/>
      <c r="N1070" s="22"/>
      <c r="O1070" s="20" t="s">
        <v>15</v>
      </c>
      <c r="P1070" s="25" t="s">
        <v>16</v>
      </c>
      <c r="Q1070" s="16">
        <v>2958465</v>
      </c>
    </row>
    <row r="1071" spans="1:17">
      <c r="A1071" s="11">
        <f t="shared" si="16"/>
        <v>1070</v>
      </c>
      <c r="B1071" s="11">
        <v>8030020268</v>
      </c>
      <c r="C1071" s="25" t="s">
        <v>519</v>
      </c>
      <c r="D1071" s="27">
        <v>10800</v>
      </c>
      <c r="E1071" s="11">
        <v>0.35</v>
      </c>
      <c r="F1071" s="11" t="s">
        <v>11</v>
      </c>
      <c r="G1071" s="44">
        <v>3780</v>
      </c>
      <c r="H1071" s="28">
        <v>3405.405405405405</v>
      </c>
      <c r="I1071" s="19" t="s">
        <v>367</v>
      </c>
      <c r="J1071" s="19" t="s">
        <v>368</v>
      </c>
      <c r="K1071" s="32" t="s">
        <v>369</v>
      </c>
      <c r="L1071" s="22"/>
      <c r="M1071" s="22"/>
      <c r="N1071" s="22"/>
      <c r="O1071" s="20" t="s">
        <v>15</v>
      </c>
      <c r="P1071" s="25" t="s">
        <v>16</v>
      </c>
      <c r="Q1071" s="16">
        <v>2958465</v>
      </c>
    </row>
    <row r="1072" spans="1:17">
      <c r="A1072" s="11">
        <f t="shared" si="16"/>
        <v>1071</v>
      </c>
      <c r="B1072" s="11">
        <v>8030020288</v>
      </c>
      <c r="C1072" s="25" t="s">
        <v>520</v>
      </c>
      <c r="D1072" s="27">
        <v>1100</v>
      </c>
      <c r="E1072" s="11">
        <v>0.35</v>
      </c>
      <c r="F1072" s="11" t="s">
        <v>11</v>
      </c>
      <c r="G1072" s="44">
        <v>385</v>
      </c>
      <c r="H1072" s="28">
        <v>346.8468468468468</v>
      </c>
      <c r="I1072" s="19" t="s">
        <v>367</v>
      </c>
      <c r="J1072" s="19" t="s">
        <v>368</v>
      </c>
      <c r="K1072" s="32" t="s">
        <v>369</v>
      </c>
      <c r="L1072" s="22"/>
      <c r="M1072" s="22"/>
      <c r="N1072" s="22"/>
      <c r="O1072" s="20" t="s">
        <v>15</v>
      </c>
      <c r="P1072" s="25" t="s">
        <v>16</v>
      </c>
      <c r="Q1072" s="16">
        <v>2958465</v>
      </c>
    </row>
    <row r="1073" spans="1:20">
      <c r="A1073" s="11">
        <f t="shared" si="16"/>
        <v>1072</v>
      </c>
      <c r="B1073" s="11">
        <v>8030020289</v>
      </c>
      <c r="C1073" s="25" t="s">
        <v>521</v>
      </c>
      <c r="D1073" s="27">
        <v>1700</v>
      </c>
      <c r="E1073" s="11">
        <v>0.35</v>
      </c>
      <c r="F1073" s="11" t="s">
        <v>11</v>
      </c>
      <c r="G1073" s="44">
        <v>595</v>
      </c>
      <c r="H1073" s="28">
        <v>536.03603603603597</v>
      </c>
      <c r="I1073" s="19" t="s">
        <v>367</v>
      </c>
      <c r="J1073" s="19" t="s">
        <v>368</v>
      </c>
      <c r="K1073" s="32" t="s">
        <v>369</v>
      </c>
      <c r="L1073" s="22"/>
      <c r="M1073" s="22"/>
      <c r="N1073" s="22"/>
      <c r="O1073" s="20" t="s">
        <v>15</v>
      </c>
      <c r="P1073" s="25" t="s">
        <v>16</v>
      </c>
      <c r="Q1073" s="16">
        <v>2958465</v>
      </c>
    </row>
    <row r="1074" spans="1:20">
      <c r="A1074" s="11">
        <f t="shared" si="16"/>
        <v>1073</v>
      </c>
      <c r="B1074" s="11">
        <v>8030020290</v>
      </c>
      <c r="C1074" s="25" t="s">
        <v>522</v>
      </c>
      <c r="D1074" s="27">
        <v>3000</v>
      </c>
      <c r="E1074" s="11">
        <v>0.35</v>
      </c>
      <c r="F1074" s="11" t="s">
        <v>11</v>
      </c>
      <c r="G1074" s="44">
        <v>1050</v>
      </c>
      <c r="H1074" s="28">
        <v>945.94594594594582</v>
      </c>
      <c r="I1074" s="19" t="s">
        <v>367</v>
      </c>
      <c r="J1074" s="19" t="s">
        <v>368</v>
      </c>
      <c r="K1074" s="32" t="s">
        <v>369</v>
      </c>
      <c r="L1074" s="22"/>
      <c r="M1074" s="22"/>
      <c r="N1074" s="22"/>
      <c r="O1074" s="20" t="s">
        <v>15</v>
      </c>
      <c r="P1074" s="25" t="s">
        <v>16</v>
      </c>
      <c r="Q1074" s="16">
        <v>2958465</v>
      </c>
    </row>
    <row r="1075" spans="1:20">
      <c r="A1075" s="11">
        <f t="shared" si="16"/>
        <v>1074</v>
      </c>
      <c r="B1075" s="11">
        <v>8030020291</v>
      </c>
      <c r="C1075" s="25" t="s">
        <v>500</v>
      </c>
      <c r="D1075" s="27">
        <v>5200</v>
      </c>
      <c r="E1075" s="11">
        <v>0.35</v>
      </c>
      <c r="F1075" s="11" t="s">
        <v>11</v>
      </c>
      <c r="G1075" s="44">
        <v>1820</v>
      </c>
      <c r="H1075" s="28">
        <v>1639.6396396396394</v>
      </c>
      <c r="I1075" s="19" t="s">
        <v>367</v>
      </c>
      <c r="J1075" s="19" t="s">
        <v>368</v>
      </c>
      <c r="K1075" s="32" t="s">
        <v>369</v>
      </c>
      <c r="L1075" s="22"/>
      <c r="M1075" s="22"/>
      <c r="N1075" s="22"/>
      <c r="O1075" s="20" t="s">
        <v>15</v>
      </c>
      <c r="P1075" s="25" t="s">
        <v>16</v>
      </c>
      <c r="Q1075" s="16">
        <v>2958465</v>
      </c>
    </row>
    <row r="1076" spans="1:20" ht="15">
      <c r="A1076" s="11">
        <f t="shared" si="16"/>
        <v>1075</v>
      </c>
      <c r="B1076" s="34">
        <v>8030020311</v>
      </c>
      <c r="C1076" s="34" t="s">
        <v>1441</v>
      </c>
      <c r="D1076" s="34"/>
      <c r="E1076" s="34"/>
      <c r="F1076" s="34" t="s">
        <v>11</v>
      </c>
      <c r="G1076" s="45">
        <v>0</v>
      </c>
      <c r="H1076" s="34">
        <v>0</v>
      </c>
      <c r="I1076" s="34"/>
      <c r="J1076" s="34"/>
      <c r="K1076" s="34" t="s">
        <v>1442</v>
      </c>
      <c r="L1076" s="34"/>
      <c r="M1076" s="34" t="s">
        <v>11</v>
      </c>
      <c r="N1076" s="34"/>
      <c r="O1076" s="34"/>
      <c r="P1076" s="34"/>
      <c r="Q1076" s="39">
        <v>2958465</v>
      </c>
      <c r="R1076" s="36"/>
      <c r="S1076" s="36"/>
      <c r="T1076" s="36"/>
    </row>
    <row r="1077" spans="1:20">
      <c r="A1077" s="11">
        <f t="shared" si="16"/>
        <v>1076</v>
      </c>
      <c r="B1077" s="11">
        <v>8030020351</v>
      </c>
      <c r="C1077" s="25" t="s">
        <v>536</v>
      </c>
      <c r="D1077" s="27">
        <v>2000</v>
      </c>
      <c r="E1077" s="11">
        <v>0.28999999999999998</v>
      </c>
      <c r="F1077" s="11" t="s">
        <v>11</v>
      </c>
      <c r="G1077" s="44">
        <v>580</v>
      </c>
      <c r="H1077" s="28">
        <v>522.52252252252242</v>
      </c>
      <c r="I1077" s="19" t="s">
        <v>367</v>
      </c>
      <c r="J1077" s="19" t="s">
        <v>368</v>
      </c>
      <c r="K1077" s="32" t="s">
        <v>532</v>
      </c>
      <c r="L1077" s="22"/>
      <c r="M1077" s="22"/>
      <c r="N1077" s="22"/>
      <c r="O1077" s="20" t="s">
        <v>15</v>
      </c>
      <c r="P1077" s="25" t="s">
        <v>16</v>
      </c>
      <c r="Q1077" s="16">
        <v>2958465</v>
      </c>
    </row>
    <row r="1078" spans="1:20">
      <c r="A1078" s="11">
        <f t="shared" si="16"/>
        <v>1077</v>
      </c>
      <c r="B1078" s="11">
        <v>8030020352</v>
      </c>
      <c r="C1078" s="25" t="s">
        <v>537</v>
      </c>
      <c r="D1078" s="27">
        <v>3200</v>
      </c>
      <c r="E1078" s="11">
        <v>0.28999999999999998</v>
      </c>
      <c r="F1078" s="11" t="s">
        <v>11</v>
      </c>
      <c r="G1078" s="44">
        <v>928</v>
      </c>
      <c r="H1078" s="28">
        <v>836.03603603603597</v>
      </c>
      <c r="I1078" s="19" t="s">
        <v>367</v>
      </c>
      <c r="J1078" s="19" t="s">
        <v>368</v>
      </c>
      <c r="K1078" s="32" t="s">
        <v>532</v>
      </c>
      <c r="L1078" s="22"/>
      <c r="M1078" s="22"/>
      <c r="N1078" s="22"/>
      <c r="O1078" s="20" t="s">
        <v>15</v>
      </c>
      <c r="P1078" s="25" t="s">
        <v>16</v>
      </c>
      <c r="Q1078" s="16">
        <v>2958465</v>
      </c>
    </row>
    <row r="1079" spans="1:20">
      <c r="A1079" s="11">
        <f t="shared" si="16"/>
        <v>1078</v>
      </c>
      <c r="B1079" s="11">
        <v>8030020353</v>
      </c>
      <c r="C1079" s="25" t="s">
        <v>538</v>
      </c>
      <c r="D1079" s="27">
        <v>4700</v>
      </c>
      <c r="E1079" s="11">
        <v>0.28999999999999998</v>
      </c>
      <c r="F1079" s="11" t="s">
        <v>11</v>
      </c>
      <c r="G1079" s="44">
        <v>1363</v>
      </c>
      <c r="H1079" s="28">
        <v>1227.9279279279278</v>
      </c>
      <c r="I1079" s="19" t="s">
        <v>367</v>
      </c>
      <c r="J1079" s="19" t="s">
        <v>368</v>
      </c>
      <c r="K1079" s="32" t="s">
        <v>532</v>
      </c>
      <c r="L1079" s="22"/>
      <c r="M1079" s="22"/>
      <c r="N1079" s="22"/>
      <c r="O1079" s="20" t="s">
        <v>15</v>
      </c>
      <c r="P1079" s="25" t="s">
        <v>16</v>
      </c>
      <c r="Q1079" s="16">
        <v>2958465</v>
      </c>
    </row>
    <row r="1080" spans="1:20">
      <c r="A1080" s="11">
        <f t="shared" si="16"/>
        <v>1079</v>
      </c>
      <c r="B1080" s="11">
        <v>8030020361</v>
      </c>
      <c r="C1080" s="25" t="s">
        <v>481</v>
      </c>
      <c r="D1080" s="27">
        <v>39800</v>
      </c>
      <c r="E1080" s="11">
        <v>0.35</v>
      </c>
      <c r="F1080" s="11" t="s">
        <v>11</v>
      </c>
      <c r="G1080" s="44">
        <v>13930</v>
      </c>
      <c r="H1080" s="28">
        <v>12549.549549549549</v>
      </c>
      <c r="I1080" s="19" t="s">
        <v>367</v>
      </c>
      <c r="J1080" s="19" t="s">
        <v>368</v>
      </c>
      <c r="K1080" s="32" t="s">
        <v>369</v>
      </c>
      <c r="L1080" s="22"/>
      <c r="M1080" s="22"/>
      <c r="N1080" s="22"/>
      <c r="O1080" s="20" t="s">
        <v>15</v>
      </c>
      <c r="P1080" s="25" t="s">
        <v>16</v>
      </c>
      <c r="Q1080" s="16">
        <v>2958465</v>
      </c>
    </row>
    <row r="1081" spans="1:20">
      <c r="A1081" s="11">
        <f t="shared" si="16"/>
        <v>1080</v>
      </c>
      <c r="B1081" s="11">
        <v>8030020364</v>
      </c>
      <c r="C1081" s="25" t="s">
        <v>482</v>
      </c>
      <c r="D1081" s="27">
        <v>52500</v>
      </c>
      <c r="E1081" s="11">
        <v>0.35</v>
      </c>
      <c r="F1081" s="11" t="s">
        <v>11</v>
      </c>
      <c r="G1081" s="44">
        <v>18375</v>
      </c>
      <c r="H1081" s="28">
        <v>16554.054054054053</v>
      </c>
      <c r="I1081" s="19" t="s">
        <v>367</v>
      </c>
      <c r="J1081" s="19" t="s">
        <v>368</v>
      </c>
      <c r="K1081" s="32" t="s">
        <v>369</v>
      </c>
      <c r="L1081" s="22"/>
      <c r="M1081" s="22"/>
      <c r="N1081" s="22"/>
      <c r="O1081" s="20" t="s">
        <v>15</v>
      </c>
      <c r="P1081" s="25" t="s">
        <v>16</v>
      </c>
      <c r="Q1081" s="16">
        <v>2958465</v>
      </c>
    </row>
    <row r="1082" spans="1:20">
      <c r="A1082" s="11">
        <f t="shared" si="16"/>
        <v>1081</v>
      </c>
      <c r="B1082" s="11">
        <v>8030020368</v>
      </c>
      <c r="C1082" s="25" t="s">
        <v>483</v>
      </c>
      <c r="D1082" s="27">
        <v>11550</v>
      </c>
      <c r="E1082" s="11">
        <v>0.35</v>
      </c>
      <c r="F1082" s="11" t="s">
        <v>11</v>
      </c>
      <c r="G1082" s="44">
        <v>4043</v>
      </c>
      <c r="H1082" s="28">
        <v>3642.3423423423419</v>
      </c>
      <c r="I1082" s="19" t="s">
        <v>367</v>
      </c>
      <c r="J1082" s="19" t="s">
        <v>368</v>
      </c>
      <c r="K1082" s="32" t="s">
        <v>369</v>
      </c>
      <c r="L1082" s="22"/>
      <c r="M1082" s="22"/>
      <c r="N1082" s="22"/>
      <c r="O1082" s="20" t="s">
        <v>15</v>
      </c>
      <c r="P1082" s="25" t="s">
        <v>16</v>
      </c>
      <c r="Q1082" s="16">
        <v>2958465</v>
      </c>
    </row>
    <row r="1083" spans="1:20">
      <c r="A1083" s="11">
        <f t="shared" si="16"/>
        <v>1082</v>
      </c>
      <c r="B1083" s="11">
        <v>8030020369</v>
      </c>
      <c r="C1083" s="25" t="s">
        <v>484</v>
      </c>
      <c r="D1083" s="27">
        <v>2900</v>
      </c>
      <c r="E1083" s="11">
        <v>0.35</v>
      </c>
      <c r="F1083" s="11" t="s">
        <v>11</v>
      </c>
      <c r="G1083" s="44">
        <v>1015</v>
      </c>
      <c r="H1083" s="28">
        <v>914.4144144144143</v>
      </c>
      <c r="I1083" s="19" t="s">
        <v>367</v>
      </c>
      <c r="J1083" s="19" t="s">
        <v>368</v>
      </c>
      <c r="K1083" s="32" t="s">
        <v>369</v>
      </c>
      <c r="L1083" s="22"/>
      <c r="M1083" s="22"/>
      <c r="N1083" s="22"/>
      <c r="O1083" s="20" t="s">
        <v>15</v>
      </c>
      <c r="P1083" s="25" t="s">
        <v>16</v>
      </c>
      <c r="Q1083" s="16">
        <v>2958465</v>
      </c>
    </row>
    <row r="1084" spans="1:20">
      <c r="A1084" s="11">
        <f t="shared" si="16"/>
        <v>1083</v>
      </c>
      <c r="B1084" s="11">
        <v>8030020376</v>
      </c>
      <c r="C1084" s="25" t="s">
        <v>485</v>
      </c>
      <c r="D1084" s="27">
        <v>79500</v>
      </c>
      <c r="E1084" s="11">
        <v>0.35</v>
      </c>
      <c r="F1084" s="11" t="s">
        <v>11</v>
      </c>
      <c r="G1084" s="44">
        <v>27825</v>
      </c>
      <c r="H1084" s="28">
        <v>25067.567567567567</v>
      </c>
      <c r="I1084" s="19" t="s">
        <v>367</v>
      </c>
      <c r="J1084" s="19" t="s">
        <v>368</v>
      </c>
      <c r="K1084" s="32" t="s">
        <v>369</v>
      </c>
      <c r="L1084" s="22"/>
      <c r="M1084" s="22"/>
      <c r="N1084" s="22"/>
      <c r="O1084" s="20" t="s">
        <v>15</v>
      </c>
      <c r="P1084" s="25" t="s">
        <v>16</v>
      </c>
      <c r="Q1084" s="16">
        <v>2958465</v>
      </c>
    </row>
    <row r="1085" spans="1:20">
      <c r="A1085" s="11">
        <f t="shared" si="16"/>
        <v>1084</v>
      </c>
      <c r="B1085" s="11">
        <v>8030020378</v>
      </c>
      <c r="C1085" s="25" t="s">
        <v>486</v>
      </c>
      <c r="D1085" s="27">
        <v>11550</v>
      </c>
      <c r="E1085" s="11">
        <v>0.35</v>
      </c>
      <c r="F1085" s="11" t="s">
        <v>11</v>
      </c>
      <c r="G1085" s="44">
        <v>4043</v>
      </c>
      <c r="H1085" s="28">
        <v>3642.3423423423419</v>
      </c>
      <c r="I1085" s="19" t="s">
        <v>367</v>
      </c>
      <c r="J1085" s="19" t="s">
        <v>368</v>
      </c>
      <c r="K1085" s="32" t="s">
        <v>369</v>
      </c>
      <c r="L1085" s="22"/>
      <c r="M1085" s="22"/>
      <c r="N1085" s="22"/>
      <c r="O1085" s="20" t="s">
        <v>15</v>
      </c>
      <c r="P1085" s="25" t="s">
        <v>16</v>
      </c>
      <c r="Q1085" s="16">
        <v>2958465</v>
      </c>
    </row>
    <row r="1086" spans="1:20">
      <c r="A1086" s="11">
        <f t="shared" si="16"/>
        <v>1085</v>
      </c>
      <c r="B1086" s="11">
        <v>8030020379</v>
      </c>
      <c r="C1086" s="25" t="s">
        <v>487</v>
      </c>
      <c r="D1086" s="27">
        <v>11550</v>
      </c>
      <c r="E1086" s="11">
        <v>0.35</v>
      </c>
      <c r="F1086" s="11" t="s">
        <v>11</v>
      </c>
      <c r="G1086" s="44">
        <v>4043</v>
      </c>
      <c r="H1086" s="28">
        <v>3642.3423423423419</v>
      </c>
      <c r="I1086" s="19" t="s">
        <v>367</v>
      </c>
      <c r="J1086" s="19" t="s">
        <v>368</v>
      </c>
      <c r="K1086" s="32" t="s">
        <v>369</v>
      </c>
      <c r="L1086" s="22"/>
      <c r="M1086" s="22"/>
      <c r="N1086" s="22"/>
      <c r="O1086" s="20" t="s">
        <v>15</v>
      </c>
      <c r="P1086" s="25" t="s">
        <v>16</v>
      </c>
      <c r="Q1086" s="16">
        <v>2958465</v>
      </c>
    </row>
    <row r="1087" spans="1:20">
      <c r="A1087" s="11">
        <f t="shared" si="16"/>
        <v>1086</v>
      </c>
      <c r="B1087" s="11">
        <v>8030020380</v>
      </c>
      <c r="C1087" s="25" t="s">
        <v>488</v>
      </c>
      <c r="D1087" s="27">
        <v>12600</v>
      </c>
      <c r="E1087" s="11">
        <v>0.35</v>
      </c>
      <c r="F1087" s="11" t="s">
        <v>11</v>
      </c>
      <c r="G1087" s="44">
        <v>4410</v>
      </c>
      <c r="H1087" s="28">
        <v>3972.9729729729725</v>
      </c>
      <c r="I1087" s="19" t="s">
        <v>367</v>
      </c>
      <c r="J1087" s="19" t="s">
        <v>368</v>
      </c>
      <c r="K1087" s="32" t="s">
        <v>369</v>
      </c>
      <c r="L1087" s="22"/>
      <c r="M1087" s="22"/>
      <c r="N1087" s="22"/>
      <c r="O1087" s="20" t="s">
        <v>15</v>
      </c>
      <c r="P1087" s="25" t="s">
        <v>16</v>
      </c>
      <c r="Q1087" s="16">
        <v>2958465</v>
      </c>
    </row>
    <row r="1088" spans="1:20">
      <c r="A1088" s="11">
        <f t="shared" si="16"/>
        <v>1087</v>
      </c>
      <c r="B1088" s="11">
        <v>8030020382</v>
      </c>
      <c r="C1088" s="25" t="s">
        <v>534</v>
      </c>
      <c r="D1088" s="27">
        <v>9850</v>
      </c>
      <c r="E1088" s="11">
        <v>0.28999999999999998</v>
      </c>
      <c r="F1088" s="11" t="s">
        <v>11</v>
      </c>
      <c r="G1088" s="44">
        <v>2857</v>
      </c>
      <c r="H1088" s="28">
        <v>2573.8738738738734</v>
      </c>
      <c r="I1088" s="19" t="s">
        <v>367</v>
      </c>
      <c r="J1088" s="19" t="s">
        <v>368</v>
      </c>
      <c r="K1088" s="32" t="s">
        <v>532</v>
      </c>
      <c r="L1088" s="22"/>
      <c r="M1088" s="22"/>
      <c r="N1088" s="22"/>
      <c r="O1088" s="20" t="s">
        <v>15</v>
      </c>
      <c r="P1088" s="25" t="s">
        <v>16</v>
      </c>
      <c r="Q1088" s="16">
        <v>2958465</v>
      </c>
    </row>
    <row r="1089" spans="1:18">
      <c r="A1089" s="11">
        <f t="shared" si="16"/>
        <v>1088</v>
      </c>
      <c r="B1089" s="11">
        <v>8030020383</v>
      </c>
      <c r="C1089" s="25" t="s">
        <v>489</v>
      </c>
      <c r="D1089" s="27">
        <v>16800</v>
      </c>
      <c r="E1089" s="11">
        <v>0.35</v>
      </c>
      <c r="F1089" s="11" t="s">
        <v>11</v>
      </c>
      <c r="G1089" s="44">
        <v>5880</v>
      </c>
      <c r="H1089" s="28">
        <v>5297.2972972972966</v>
      </c>
      <c r="I1089" s="19" t="s">
        <v>367</v>
      </c>
      <c r="J1089" s="19" t="s">
        <v>368</v>
      </c>
      <c r="K1089" s="32" t="s">
        <v>369</v>
      </c>
      <c r="L1089" s="22"/>
      <c r="M1089" s="22"/>
      <c r="N1089" s="22"/>
      <c r="O1089" s="20" t="s">
        <v>15</v>
      </c>
      <c r="P1089" s="25" t="s">
        <v>16</v>
      </c>
      <c r="Q1089" s="16">
        <v>2958465</v>
      </c>
    </row>
    <row r="1090" spans="1:18">
      <c r="A1090" s="11">
        <f t="shared" si="16"/>
        <v>1089</v>
      </c>
      <c r="B1090" s="11">
        <v>8030020386</v>
      </c>
      <c r="C1090" s="25" t="s">
        <v>490</v>
      </c>
      <c r="D1090" s="27">
        <v>5278</v>
      </c>
      <c r="E1090" s="11">
        <v>0.35</v>
      </c>
      <c r="F1090" s="11" t="s">
        <v>11</v>
      </c>
      <c r="G1090" s="44">
        <v>1847</v>
      </c>
      <c r="H1090" s="28">
        <v>1663.9639639639638</v>
      </c>
      <c r="I1090" s="19" t="s">
        <v>367</v>
      </c>
      <c r="J1090" s="19" t="s">
        <v>368</v>
      </c>
      <c r="K1090" s="32" t="s">
        <v>369</v>
      </c>
      <c r="L1090" s="22"/>
      <c r="M1090" s="22"/>
      <c r="N1090" s="22"/>
      <c r="O1090" s="20" t="s">
        <v>15</v>
      </c>
      <c r="P1090" s="25" t="s">
        <v>16</v>
      </c>
      <c r="Q1090" s="16">
        <v>2958465</v>
      </c>
    </row>
    <row r="1091" spans="1:18">
      <c r="A1091" s="11">
        <f t="shared" si="16"/>
        <v>1090</v>
      </c>
      <c r="B1091" s="11">
        <v>8030020387</v>
      </c>
      <c r="C1091" s="25" t="s">
        <v>491</v>
      </c>
      <c r="D1091" s="27">
        <v>3000</v>
      </c>
      <c r="E1091" s="11">
        <v>0.35</v>
      </c>
      <c r="F1091" s="11" t="s">
        <v>11</v>
      </c>
      <c r="G1091" s="44">
        <v>1050</v>
      </c>
      <c r="H1091" s="28">
        <v>945.94594594594582</v>
      </c>
      <c r="I1091" s="19" t="s">
        <v>367</v>
      </c>
      <c r="J1091" s="19" t="s">
        <v>368</v>
      </c>
      <c r="K1091" s="32" t="s">
        <v>369</v>
      </c>
      <c r="L1091" s="22"/>
      <c r="M1091" s="22"/>
      <c r="N1091" s="22"/>
      <c r="O1091" s="20" t="s">
        <v>15</v>
      </c>
      <c r="P1091" s="25" t="s">
        <v>16</v>
      </c>
      <c r="Q1091" s="16">
        <v>2958465</v>
      </c>
    </row>
    <row r="1092" spans="1:18">
      <c r="A1092" s="11">
        <f t="shared" si="16"/>
        <v>1091</v>
      </c>
      <c r="B1092" s="11">
        <v>8030020389</v>
      </c>
      <c r="C1092" s="25" t="s">
        <v>492</v>
      </c>
      <c r="D1092" s="27">
        <v>14700</v>
      </c>
      <c r="E1092" s="11">
        <v>0.35</v>
      </c>
      <c r="F1092" s="11" t="s">
        <v>11</v>
      </c>
      <c r="G1092" s="44">
        <v>5145</v>
      </c>
      <c r="H1092" s="28">
        <v>4635.135135135135</v>
      </c>
      <c r="I1092" s="19" t="s">
        <v>367</v>
      </c>
      <c r="J1092" s="19" t="s">
        <v>368</v>
      </c>
      <c r="K1092" s="32" t="s">
        <v>369</v>
      </c>
      <c r="L1092" s="22"/>
      <c r="M1092" s="22"/>
      <c r="N1092" s="22"/>
      <c r="O1092" s="20" t="s">
        <v>15</v>
      </c>
      <c r="P1092" s="25" t="s">
        <v>16</v>
      </c>
      <c r="Q1092" s="16">
        <v>2958465</v>
      </c>
    </row>
    <row r="1093" spans="1:18">
      <c r="A1093" s="11">
        <f t="shared" ref="A1093:A1156" si="17">ROW()-1</f>
        <v>1092</v>
      </c>
      <c r="B1093" s="11">
        <v>8030020401</v>
      </c>
      <c r="C1093" s="25" t="s">
        <v>493</v>
      </c>
      <c r="D1093" s="27">
        <v>3150</v>
      </c>
      <c r="E1093" s="11">
        <v>0.35</v>
      </c>
      <c r="F1093" s="11" t="s">
        <v>11</v>
      </c>
      <c r="G1093" s="44">
        <v>1103</v>
      </c>
      <c r="H1093" s="28">
        <v>993.6936936936936</v>
      </c>
      <c r="I1093" s="19" t="s">
        <v>367</v>
      </c>
      <c r="J1093" s="19" t="s">
        <v>368</v>
      </c>
      <c r="K1093" s="32" t="s">
        <v>369</v>
      </c>
      <c r="L1093" s="22"/>
      <c r="M1093" s="22"/>
      <c r="N1093" s="22"/>
      <c r="O1093" s="20" t="s">
        <v>15</v>
      </c>
      <c r="P1093" s="25" t="s">
        <v>16</v>
      </c>
      <c r="Q1093" s="16">
        <v>2958465</v>
      </c>
    </row>
    <row r="1094" spans="1:18">
      <c r="A1094" s="11">
        <f t="shared" si="17"/>
        <v>1093</v>
      </c>
      <c r="B1094" s="11">
        <v>8030020402</v>
      </c>
      <c r="C1094" s="25" t="s">
        <v>494</v>
      </c>
      <c r="D1094" s="27">
        <v>3150</v>
      </c>
      <c r="E1094" s="11">
        <v>0.35</v>
      </c>
      <c r="F1094" s="11" t="s">
        <v>11</v>
      </c>
      <c r="G1094" s="44">
        <v>1103</v>
      </c>
      <c r="H1094" s="28">
        <v>993.6936936936936</v>
      </c>
      <c r="I1094" s="19" t="s">
        <v>367</v>
      </c>
      <c r="J1094" s="19" t="s">
        <v>368</v>
      </c>
      <c r="K1094" s="32" t="s">
        <v>369</v>
      </c>
      <c r="L1094" s="22"/>
      <c r="M1094" s="22"/>
      <c r="N1094" s="22"/>
      <c r="O1094" s="20" t="s">
        <v>15</v>
      </c>
      <c r="P1094" s="25" t="s">
        <v>16</v>
      </c>
      <c r="Q1094" s="16">
        <v>2958465</v>
      </c>
    </row>
    <row r="1095" spans="1:18">
      <c r="A1095" s="11">
        <f t="shared" si="17"/>
        <v>1094</v>
      </c>
      <c r="B1095" s="11">
        <v>8030020421</v>
      </c>
      <c r="C1095" s="25" t="s">
        <v>495</v>
      </c>
      <c r="D1095" s="27">
        <v>573</v>
      </c>
      <c r="E1095" s="11">
        <v>0.35</v>
      </c>
      <c r="F1095" s="11" t="s">
        <v>11</v>
      </c>
      <c r="G1095" s="44">
        <v>201</v>
      </c>
      <c r="H1095" s="28">
        <v>181.08108108108107</v>
      </c>
      <c r="I1095" s="19" t="s">
        <v>367</v>
      </c>
      <c r="J1095" s="19" t="s">
        <v>368</v>
      </c>
      <c r="K1095" s="32" t="s">
        <v>369</v>
      </c>
      <c r="L1095" s="22"/>
      <c r="M1095" s="22"/>
      <c r="N1095" s="22"/>
      <c r="O1095" s="20" t="s">
        <v>15</v>
      </c>
      <c r="P1095" s="25" t="s">
        <v>16</v>
      </c>
      <c r="Q1095" s="16">
        <v>2958465</v>
      </c>
    </row>
    <row r="1096" spans="1:18">
      <c r="A1096" s="11">
        <f t="shared" si="17"/>
        <v>1095</v>
      </c>
      <c r="B1096" s="11">
        <v>8030020562</v>
      </c>
      <c r="C1096" s="25" t="s">
        <v>1259</v>
      </c>
      <c r="D1096" s="27">
        <v>5551</v>
      </c>
      <c r="E1096" s="11">
        <v>0.35</v>
      </c>
      <c r="F1096" s="11" t="s">
        <v>11</v>
      </c>
      <c r="G1096" s="44">
        <v>1943</v>
      </c>
      <c r="H1096" s="28">
        <v>1750.4504504504503</v>
      </c>
      <c r="I1096" s="19" t="s">
        <v>367</v>
      </c>
      <c r="J1096" s="19" t="s">
        <v>368</v>
      </c>
      <c r="K1096" s="32" t="s">
        <v>369</v>
      </c>
      <c r="L1096" s="22"/>
      <c r="M1096" s="22"/>
      <c r="N1096" s="22"/>
      <c r="O1096" s="22" t="s">
        <v>15</v>
      </c>
      <c r="P1096" s="25" t="s">
        <v>1258</v>
      </c>
      <c r="Q1096" s="16">
        <v>2958465</v>
      </c>
      <c r="R1096" s="24"/>
    </row>
    <row r="1097" spans="1:18">
      <c r="A1097" s="11">
        <f t="shared" si="17"/>
        <v>1096</v>
      </c>
      <c r="B1097" s="11">
        <v>8030020580</v>
      </c>
      <c r="C1097" s="25" t="s">
        <v>496</v>
      </c>
      <c r="D1097" s="27">
        <v>24600</v>
      </c>
      <c r="E1097" s="11">
        <v>0.35</v>
      </c>
      <c r="F1097" s="11" t="s">
        <v>11</v>
      </c>
      <c r="G1097" s="44">
        <v>8610</v>
      </c>
      <c r="H1097" s="28">
        <v>7756.7567567567557</v>
      </c>
      <c r="I1097" s="19" t="s">
        <v>367</v>
      </c>
      <c r="J1097" s="19" t="s">
        <v>368</v>
      </c>
      <c r="K1097" s="32" t="s">
        <v>369</v>
      </c>
      <c r="L1097" s="22"/>
      <c r="M1097" s="22"/>
      <c r="N1097" s="22"/>
      <c r="O1097" s="20" t="s">
        <v>15</v>
      </c>
      <c r="P1097" s="25" t="s">
        <v>16</v>
      </c>
      <c r="Q1097" s="16">
        <v>2958465</v>
      </c>
    </row>
    <row r="1098" spans="1:18">
      <c r="A1098" s="11">
        <f t="shared" si="17"/>
        <v>1097</v>
      </c>
      <c r="B1098" s="11">
        <v>8030020594</v>
      </c>
      <c r="C1098" s="25" t="s">
        <v>497</v>
      </c>
      <c r="D1098" s="27">
        <v>500</v>
      </c>
      <c r="E1098" s="11">
        <v>0.35</v>
      </c>
      <c r="F1098" s="11" t="s">
        <v>11</v>
      </c>
      <c r="G1098" s="44">
        <v>175</v>
      </c>
      <c r="H1098" s="28">
        <v>157.65765765765764</v>
      </c>
      <c r="I1098" s="19" t="s">
        <v>367</v>
      </c>
      <c r="J1098" s="19" t="s">
        <v>368</v>
      </c>
      <c r="K1098" s="32" t="s">
        <v>369</v>
      </c>
      <c r="L1098" s="22"/>
      <c r="M1098" s="22"/>
      <c r="N1098" s="22"/>
      <c r="O1098" s="20" t="s">
        <v>15</v>
      </c>
      <c r="P1098" s="25" t="s">
        <v>16</v>
      </c>
      <c r="Q1098" s="16">
        <v>2958465</v>
      </c>
    </row>
    <row r="1099" spans="1:18">
      <c r="A1099" s="11">
        <f t="shared" si="17"/>
        <v>1098</v>
      </c>
      <c r="B1099" s="11">
        <v>8030020595</v>
      </c>
      <c r="C1099" s="25" t="s">
        <v>498</v>
      </c>
      <c r="D1099" s="27">
        <v>600</v>
      </c>
      <c r="E1099" s="11">
        <v>0.35</v>
      </c>
      <c r="F1099" s="11" t="s">
        <v>11</v>
      </c>
      <c r="G1099" s="44">
        <v>210</v>
      </c>
      <c r="H1099" s="28">
        <v>189.18918918918916</v>
      </c>
      <c r="I1099" s="19" t="s">
        <v>367</v>
      </c>
      <c r="J1099" s="19" t="s">
        <v>368</v>
      </c>
      <c r="K1099" s="32" t="s">
        <v>369</v>
      </c>
      <c r="L1099" s="22"/>
      <c r="M1099" s="22"/>
      <c r="N1099" s="22"/>
      <c r="O1099" s="20" t="s">
        <v>15</v>
      </c>
      <c r="P1099" s="25" t="s">
        <v>16</v>
      </c>
      <c r="Q1099" s="16">
        <v>2958465</v>
      </c>
    </row>
    <row r="1100" spans="1:18">
      <c r="A1100" s="11">
        <f t="shared" si="17"/>
        <v>1099</v>
      </c>
      <c r="B1100" s="11">
        <v>8030020596</v>
      </c>
      <c r="C1100" s="25" t="s">
        <v>499</v>
      </c>
      <c r="D1100" s="27">
        <v>750</v>
      </c>
      <c r="E1100" s="11">
        <v>0.35</v>
      </c>
      <c r="F1100" s="11" t="s">
        <v>11</v>
      </c>
      <c r="G1100" s="44">
        <v>263</v>
      </c>
      <c r="H1100" s="28">
        <v>236.93693693693692</v>
      </c>
      <c r="I1100" s="19" t="s">
        <v>367</v>
      </c>
      <c r="J1100" s="19" t="s">
        <v>368</v>
      </c>
      <c r="K1100" s="32" t="s">
        <v>369</v>
      </c>
      <c r="L1100" s="22"/>
      <c r="M1100" s="22"/>
      <c r="N1100" s="22"/>
      <c r="O1100" s="20" t="s">
        <v>15</v>
      </c>
      <c r="P1100" s="25" t="s">
        <v>16</v>
      </c>
      <c r="Q1100" s="16">
        <v>2958465</v>
      </c>
    </row>
    <row r="1101" spans="1:18">
      <c r="A1101" s="11">
        <f t="shared" si="17"/>
        <v>1100</v>
      </c>
      <c r="B1101" s="11">
        <v>8030020617</v>
      </c>
      <c r="C1101" s="25" t="s">
        <v>434</v>
      </c>
      <c r="D1101" s="27">
        <v>8400</v>
      </c>
      <c r="E1101" s="11">
        <v>0.35</v>
      </c>
      <c r="F1101" s="11" t="s">
        <v>11</v>
      </c>
      <c r="G1101" s="44">
        <v>2940</v>
      </c>
      <c r="H1101" s="28">
        <v>2648.6486486486483</v>
      </c>
      <c r="I1101" s="19" t="s">
        <v>367</v>
      </c>
      <c r="J1101" s="19" t="s">
        <v>368</v>
      </c>
      <c r="K1101" s="32" t="s">
        <v>369</v>
      </c>
      <c r="L1101" s="22"/>
      <c r="M1101" s="22"/>
      <c r="N1101" s="22"/>
      <c r="O1101" s="20" t="s">
        <v>15</v>
      </c>
      <c r="P1101" s="25" t="s">
        <v>16</v>
      </c>
      <c r="Q1101" s="16">
        <v>2958465</v>
      </c>
    </row>
    <row r="1102" spans="1:18">
      <c r="A1102" s="11">
        <f t="shared" si="17"/>
        <v>1101</v>
      </c>
      <c r="B1102" s="11">
        <v>8030020618</v>
      </c>
      <c r="C1102" s="25" t="s">
        <v>413</v>
      </c>
      <c r="D1102" s="27">
        <v>13650</v>
      </c>
      <c r="E1102" s="11">
        <v>0.35</v>
      </c>
      <c r="F1102" s="11" t="s">
        <v>11</v>
      </c>
      <c r="G1102" s="44">
        <v>4778</v>
      </c>
      <c r="H1102" s="28">
        <v>4304.5045045045044</v>
      </c>
      <c r="I1102" s="19" t="s">
        <v>367</v>
      </c>
      <c r="J1102" s="19" t="s">
        <v>368</v>
      </c>
      <c r="K1102" s="32" t="s">
        <v>369</v>
      </c>
      <c r="L1102" s="22"/>
      <c r="M1102" s="22"/>
      <c r="N1102" s="22"/>
      <c r="O1102" s="20" t="s">
        <v>15</v>
      </c>
      <c r="P1102" s="25" t="s">
        <v>16</v>
      </c>
      <c r="Q1102" s="16">
        <v>2958465</v>
      </c>
    </row>
    <row r="1103" spans="1:18">
      <c r="A1103" s="11">
        <f t="shared" si="17"/>
        <v>1102</v>
      </c>
      <c r="B1103" s="11">
        <v>8030020619</v>
      </c>
      <c r="C1103" s="25" t="s">
        <v>414</v>
      </c>
      <c r="D1103" s="27">
        <v>13650</v>
      </c>
      <c r="E1103" s="11">
        <v>0.35</v>
      </c>
      <c r="F1103" s="11" t="s">
        <v>11</v>
      </c>
      <c r="G1103" s="44">
        <v>4778</v>
      </c>
      <c r="H1103" s="28">
        <v>4304.5045045045044</v>
      </c>
      <c r="I1103" s="19" t="s">
        <v>367</v>
      </c>
      <c r="J1103" s="19" t="s">
        <v>368</v>
      </c>
      <c r="K1103" s="32" t="s">
        <v>369</v>
      </c>
      <c r="L1103" s="22"/>
      <c r="M1103" s="22"/>
      <c r="N1103" s="22"/>
      <c r="O1103" s="20" t="s">
        <v>15</v>
      </c>
      <c r="P1103" s="25" t="s">
        <v>16</v>
      </c>
      <c r="Q1103" s="16">
        <v>2958465</v>
      </c>
    </row>
    <row r="1104" spans="1:18">
      <c r="A1104" s="11">
        <f t="shared" si="17"/>
        <v>1103</v>
      </c>
      <c r="B1104" s="11">
        <v>8030020620</v>
      </c>
      <c r="C1104" s="25" t="s">
        <v>415</v>
      </c>
      <c r="D1104" s="27">
        <v>12600</v>
      </c>
      <c r="E1104" s="11">
        <v>0.35</v>
      </c>
      <c r="F1104" s="11" t="s">
        <v>11</v>
      </c>
      <c r="G1104" s="44">
        <v>4410</v>
      </c>
      <c r="H1104" s="28">
        <v>3972.9729729729725</v>
      </c>
      <c r="I1104" s="19" t="s">
        <v>367</v>
      </c>
      <c r="J1104" s="19" t="s">
        <v>368</v>
      </c>
      <c r="K1104" s="32" t="s">
        <v>369</v>
      </c>
      <c r="L1104" s="22"/>
      <c r="M1104" s="22"/>
      <c r="N1104" s="22"/>
      <c r="O1104" s="20" t="s">
        <v>15</v>
      </c>
      <c r="P1104" s="25" t="s">
        <v>16</v>
      </c>
      <c r="Q1104" s="16">
        <v>2958465</v>
      </c>
    </row>
    <row r="1105" spans="1:20">
      <c r="A1105" s="11">
        <f t="shared" si="17"/>
        <v>1104</v>
      </c>
      <c r="B1105" s="11">
        <v>8030020621</v>
      </c>
      <c r="C1105" s="25" t="s">
        <v>416</v>
      </c>
      <c r="D1105" s="27">
        <v>2100</v>
      </c>
      <c r="E1105" s="11">
        <v>0.35</v>
      </c>
      <c r="F1105" s="11" t="s">
        <v>11</v>
      </c>
      <c r="G1105" s="44">
        <v>735</v>
      </c>
      <c r="H1105" s="28">
        <v>662.16216216216208</v>
      </c>
      <c r="I1105" s="19" t="s">
        <v>367</v>
      </c>
      <c r="J1105" s="19" t="s">
        <v>368</v>
      </c>
      <c r="K1105" s="32" t="s">
        <v>369</v>
      </c>
      <c r="L1105" s="22"/>
      <c r="M1105" s="22"/>
      <c r="N1105" s="22"/>
      <c r="O1105" s="20" t="s">
        <v>15</v>
      </c>
      <c r="P1105" s="25" t="s">
        <v>16</v>
      </c>
      <c r="Q1105" s="16">
        <v>2958465</v>
      </c>
    </row>
    <row r="1106" spans="1:20">
      <c r="A1106" s="11">
        <f t="shared" si="17"/>
        <v>1105</v>
      </c>
      <c r="B1106" s="11">
        <v>8030020661</v>
      </c>
      <c r="C1106" s="25" t="s">
        <v>417</v>
      </c>
      <c r="D1106" s="27">
        <v>6123</v>
      </c>
      <c r="E1106" s="11">
        <v>0.35</v>
      </c>
      <c r="F1106" s="11" t="s">
        <v>11</v>
      </c>
      <c r="G1106" s="44">
        <v>2143</v>
      </c>
      <c r="H1106" s="28">
        <v>1930.6306306306305</v>
      </c>
      <c r="I1106" s="19" t="s">
        <v>367</v>
      </c>
      <c r="J1106" s="19" t="s">
        <v>368</v>
      </c>
      <c r="K1106" s="32" t="s">
        <v>369</v>
      </c>
      <c r="L1106" s="22"/>
      <c r="M1106" s="22"/>
      <c r="N1106" s="22"/>
      <c r="O1106" s="20" t="s">
        <v>15</v>
      </c>
      <c r="P1106" s="25" t="s">
        <v>418</v>
      </c>
      <c r="Q1106" s="16">
        <v>2958465</v>
      </c>
      <c r="S1106" s="21"/>
      <c r="T1106" s="17"/>
    </row>
    <row r="1107" spans="1:20">
      <c r="A1107" s="11">
        <f t="shared" si="17"/>
        <v>1106</v>
      </c>
      <c r="B1107" s="11">
        <v>8030020663</v>
      </c>
      <c r="C1107" s="25" t="s">
        <v>419</v>
      </c>
      <c r="D1107" s="27">
        <v>16800</v>
      </c>
      <c r="E1107" s="11">
        <v>0.35</v>
      </c>
      <c r="F1107" s="11" t="s">
        <v>11</v>
      </c>
      <c r="G1107" s="44">
        <v>5880</v>
      </c>
      <c r="H1107" s="28">
        <v>5297.2972972972966</v>
      </c>
      <c r="I1107" s="19" t="s">
        <v>367</v>
      </c>
      <c r="J1107" s="19" t="s">
        <v>368</v>
      </c>
      <c r="K1107" s="32" t="s">
        <v>369</v>
      </c>
      <c r="L1107" s="22"/>
      <c r="M1107" s="22"/>
      <c r="N1107" s="22"/>
      <c r="O1107" s="20" t="s">
        <v>15</v>
      </c>
      <c r="P1107" s="25" t="s">
        <v>16</v>
      </c>
      <c r="Q1107" s="16">
        <v>2958465</v>
      </c>
    </row>
    <row r="1108" spans="1:20">
      <c r="A1108" s="11">
        <f t="shared" si="17"/>
        <v>1107</v>
      </c>
      <c r="B1108" s="11">
        <v>8030020664</v>
      </c>
      <c r="C1108" s="25" t="s">
        <v>420</v>
      </c>
      <c r="D1108" s="27">
        <v>19950</v>
      </c>
      <c r="E1108" s="11">
        <v>0.35</v>
      </c>
      <c r="F1108" s="11" t="s">
        <v>11</v>
      </c>
      <c r="G1108" s="44">
        <v>6983</v>
      </c>
      <c r="H1108" s="28">
        <v>6290.9909909909902</v>
      </c>
      <c r="I1108" s="19" t="s">
        <v>367</v>
      </c>
      <c r="J1108" s="19" t="s">
        <v>368</v>
      </c>
      <c r="K1108" s="32" t="s">
        <v>369</v>
      </c>
      <c r="L1108" s="22"/>
      <c r="M1108" s="22"/>
      <c r="N1108" s="22"/>
      <c r="O1108" s="20" t="s">
        <v>15</v>
      </c>
      <c r="P1108" s="25" t="s">
        <v>16</v>
      </c>
      <c r="Q1108" s="16">
        <v>2958465</v>
      </c>
    </row>
    <row r="1109" spans="1:20">
      <c r="A1109" s="11">
        <f t="shared" si="17"/>
        <v>1108</v>
      </c>
      <c r="B1109" s="11">
        <v>8030020737</v>
      </c>
      <c r="C1109" s="25" t="s">
        <v>421</v>
      </c>
      <c r="D1109" s="27">
        <v>1050</v>
      </c>
      <c r="E1109" s="11">
        <v>0.35</v>
      </c>
      <c r="F1109" s="11" t="s">
        <v>11</v>
      </c>
      <c r="G1109" s="44">
        <v>368</v>
      </c>
      <c r="H1109" s="28">
        <v>331.53153153153153</v>
      </c>
      <c r="I1109" s="19" t="s">
        <v>367</v>
      </c>
      <c r="J1109" s="19" t="s">
        <v>368</v>
      </c>
      <c r="K1109" s="32" t="s">
        <v>369</v>
      </c>
      <c r="L1109" s="22"/>
      <c r="M1109" s="22"/>
      <c r="N1109" s="22"/>
      <c r="O1109" s="20" t="s">
        <v>15</v>
      </c>
      <c r="P1109" s="25" t="s">
        <v>16</v>
      </c>
      <c r="Q1109" s="16">
        <v>2958465</v>
      </c>
    </row>
    <row r="1110" spans="1:20">
      <c r="A1110" s="11">
        <f t="shared" si="17"/>
        <v>1109</v>
      </c>
      <c r="B1110" s="11">
        <v>8030020754</v>
      </c>
      <c r="C1110" s="25" t="s">
        <v>539</v>
      </c>
      <c r="D1110" s="27">
        <v>1470000</v>
      </c>
      <c r="E1110" s="11">
        <v>0.26</v>
      </c>
      <c r="F1110" s="11" t="s">
        <v>11</v>
      </c>
      <c r="G1110" s="44">
        <v>382200</v>
      </c>
      <c r="H1110" s="28">
        <v>344324.32432432432</v>
      </c>
      <c r="I1110" s="19" t="s">
        <v>367</v>
      </c>
      <c r="J1110" s="19" t="s">
        <v>368</v>
      </c>
      <c r="K1110" s="32" t="s">
        <v>540</v>
      </c>
      <c r="L1110" s="22"/>
      <c r="M1110" s="22"/>
      <c r="N1110" s="22"/>
      <c r="O1110" s="20" t="s">
        <v>15</v>
      </c>
      <c r="P1110" s="25" t="s">
        <v>16</v>
      </c>
      <c r="Q1110" s="16">
        <v>2958465</v>
      </c>
    </row>
    <row r="1111" spans="1:20">
      <c r="A1111" s="11">
        <f t="shared" si="17"/>
        <v>1110</v>
      </c>
      <c r="B1111" s="11">
        <v>8030020764</v>
      </c>
      <c r="C1111" s="25" t="s">
        <v>422</v>
      </c>
      <c r="D1111" s="27">
        <v>10500</v>
      </c>
      <c r="E1111" s="11">
        <v>0.35</v>
      </c>
      <c r="F1111" s="11" t="s">
        <v>11</v>
      </c>
      <c r="G1111" s="44">
        <v>3675</v>
      </c>
      <c r="H1111" s="28">
        <v>3310.8108108108104</v>
      </c>
      <c r="I1111" s="19" t="s">
        <v>367</v>
      </c>
      <c r="J1111" s="19" t="s">
        <v>368</v>
      </c>
      <c r="K1111" s="32" t="s">
        <v>369</v>
      </c>
      <c r="L1111" s="22"/>
      <c r="M1111" s="22"/>
      <c r="N1111" s="22"/>
      <c r="O1111" s="20" t="s">
        <v>15</v>
      </c>
      <c r="P1111" s="25" t="s">
        <v>16</v>
      </c>
      <c r="Q1111" s="16">
        <v>2958465</v>
      </c>
    </row>
    <row r="1112" spans="1:20">
      <c r="A1112" s="11">
        <f t="shared" si="17"/>
        <v>1111</v>
      </c>
      <c r="B1112" s="11">
        <v>8030020778</v>
      </c>
      <c r="C1112" s="25" t="s">
        <v>423</v>
      </c>
      <c r="D1112" s="27">
        <v>10500</v>
      </c>
      <c r="E1112" s="11">
        <v>0.35</v>
      </c>
      <c r="F1112" s="11" t="s">
        <v>11</v>
      </c>
      <c r="G1112" s="44">
        <v>3675</v>
      </c>
      <c r="H1112" s="28">
        <v>3310.8108108108104</v>
      </c>
      <c r="I1112" s="19" t="s">
        <v>367</v>
      </c>
      <c r="J1112" s="19" t="s">
        <v>368</v>
      </c>
      <c r="K1112" s="32" t="s">
        <v>369</v>
      </c>
      <c r="L1112" s="22"/>
      <c r="M1112" s="22"/>
      <c r="N1112" s="22"/>
      <c r="O1112" s="20" t="s">
        <v>15</v>
      </c>
      <c r="P1112" s="25" t="s">
        <v>16</v>
      </c>
      <c r="Q1112" s="16">
        <v>2958465</v>
      </c>
    </row>
    <row r="1113" spans="1:20">
      <c r="A1113" s="11">
        <f t="shared" si="17"/>
        <v>1112</v>
      </c>
      <c r="B1113" s="11">
        <v>8030020790</v>
      </c>
      <c r="C1113" s="25" t="s">
        <v>533</v>
      </c>
      <c r="D1113" s="27">
        <v>1450</v>
      </c>
      <c r="E1113" s="11">
        <v>0.28999999999999998</v>
      </c>
      <c r="F1113" s="11" t="s">
        <v>11</v>
      </c>
      <c r="G1113" s="44">
        <v>421</v>
      </c>
      <c r="H1113" s="28">
        <v>379.27927927927925</v>
      </c>
      <c r="I1113" s="19" t="s">
        <v>367</v>
      </c>
      <c r="J1113" s="19" t="s">
        <v>368</v>
      </c>
      <c r="K1113" s="32" t="s">
        <v>532</v>
      </c>
      <c r="L1113" s="22"/>
      <c r="M1113" s="22"/>
      <c r="N1113" s="22"/>
      <c r="O1113" s="20" t="s">
        <v>15</v>
      </c>
      <c r="P1113" s="25" t="s">
        <v>16</v>
      </c>
      <c r="Q1113" s="16">
        <v>2958465</v>
      </c>
    </row>
    <row r="1114" spans="1:20">
      <c r="A1114" s="11">
        <f t="shared" si="17"/>
        <v>1113</v>
      </c>
      <c r="B1114" s="11">
        <v>8030020808</v>
      </c>
      <c r="C1114" s="25" t="s">
        <v>541</v>
      </c>
      <c r="D1114" s="27">
        <v>360000</v>
      </c>
      <c r="E1114" s="11">
        <v>0.26</v>
      </c>
      <c r="F1114" s="11" t="s">
        <v>11</v>
      </c>
      <c r="G1114" s="44">
        <v>93600</v>
      </c>
      <c r="H1114" s="28">
        <v>84324.32432432432</v>
      </c>
      <c r="I1114" s="19" t="s">
        <v>367</v>
      </c>
      <c r="J1114" s="19" t="s">
        <v>368</v>
      </c>
      <c r="K1114" s="32" t="s">
        <v>540</v>
      </c>
      <c r="L1114" s="22"/>
      <c r="M1114" s="22"/>
      <c r="N1114" s="22"/>
      <c r="O1114" s="20" t="s">
        <v>15</v>
      </c>
      <c r="P1114" s="25" t="s">
        <v>16</v>
      </c>
      <c r="Q1114" s="16">
        <v>2958465</v>
      </c>
    </row>
    <row r="1115" spans="1:20">
      <c r="A1115" s="11">
        <f t="shared" si="17"/>
        <v>1114</v>
      </c>
      <c r="B1115" s="11">
        <v>8030020812</v>
      </c>
      <c r="C1115" s="25" t="s">
        <v>542</v>
      </c>
      <c r="D1115" s="27">
        <v>580000</v>
      </c>
      <c r="E1115" s="11">
        <v>0.26</v>
      </c>
      <c r="F1115" s="11" t="s">
        <v>11</v>
      </c>
      <c r="G1115" s="44">
        <v>150800</v>
      </c>
      <c r="H1115" s="28">
        <v>135855.85585585586</v>
      </c>
      <c r="I1115" s="19" t="s">
        <v>367</v>
      </c>
      <c r="J1115" s="19" t="s">
        <v>368</v>
      </c>
      <c r="K1115" s="32" t="s">
        <v>540</v>
      </c>
      <c r="L1115" s="22"/>
      <c r="M1115" s="22"/>
      <c r="N1115" s="22"/>
      <c r="O1115" s="20" t="s">
        <v>15</v>
      </c>
      <c r="P1115" s="25" t="s">
        <v>16</v>
      </c>
      <c r="Q1115" s="16">
        <v>2958465</v>
      </c>
    </row>
    <row r="1116" spans="1:20">
      <c r="A1116" s="11">
        <f t="shared" si="17"/>
        <v>1115</v>
      </c>
      <c r="B1116" s="11">
        <v>8030020851</v>
      </c>
      <c r="C1116" s="25" t="s">
        <v>424</v>
      </c>
      <c r="D1116" s="27">
        <v>10500</v>
      </c>
      <c r="E1116" s="11">
        <v>0.35</v>
      </c>
      <c r="F1116" s="11" t="s">
        <v>11</v>
      </c>
      <c r="G1116" s="44">
        <v>3675</v>
      </c>
      <c r="H1116" s="28">
        <v>3310.8108108108104</v>
      </c>
      <c r="I1116" s="19" t="s">
        <v>367</v>
      </c>
      <c r="J1116" s="19" t="s">
        <v>368</v>
      </c>
      <c r="K1116" s="32" t="s">
        <v>369</v>
      </c>
      <c r="L1116" s="22"/>
      <c r="M1116" s="22"/>
      <c r="N1116" s="22"/>
      <c r="O1116" s="20" t="s">
        <v>15</v>
      </c>
      <c r="P1116" s="25" t="s">
        <v>16</v>
      </c>
      <c r="Q1116" s="16">
        <v>2958465</v>
      </c>
    </row>
    <row r="1117" spans="1:20">
      <c r="A1117" s="11">
        <f t="shared" si="17"/>
        <v>1116</v>
      </c>
      <c r="B1117" s="11">
        <v>8030020864</v>
      </c>
      <c r="C1117" s="25" t="s">
        <v>425</v>
      </c>
      <c r="D1117" s="27">
        <v>14700</v>
      </c>
      <c r="E1117" s="11">
        <v>0.35</v>
      </c>
      <c r="F1117" s="11" t="s">
        <v>11</v>
      </c>
      <c r="G1117" s="44">
        <v>5145</v>
      </c>
      <c r="H1117" s="28">
        <v>4635.135135135135</v>
      </c>
      <c r="I1117" s="19" t="s">
        <v>367</v>
      </c>
      <c r="J1117" s="19" t="s">
        <v>368</v>
      </c>
      <c r="K1117" s="32" t="s">
        <v>369</v>
      </c>
      <c r="L1117" s="22"/>
      <c r="M1117" s="22"/>
      <c r="N1117" s="22"/>
      <c r="O1117" s="20" t="s">
        <v>15</v>
      </c>
      <c r="P1117" s="25" t="s">
        <v>16</v>
      </c>
      <c r="Q1117" s="16">
        <v>2958465</v>
      </c>
    </row>
    <row r="1118" spans="1:20">
      <c r="A1118" s="11">
        <f t="shared" si="17"/>
        <v>1117</v>
      </c>
      <c r="B1118" s="11">
        <v>8030020865</v>
      </c>
      <c r="C1118" s="25" t="s">
        <v>426</v>
      </c>
      <c r="D1118" s="27">
        <v>13200</v>
      </c>
      <c r="E1118" s="11">
        <v>0.35</v>
      </c>
      <c r="F1118" s="11" t="s">
        <v>11</v>
      </c>
      <c r="G1118" s="44">
        <v>4620</v>
      </c>
      <c r="H1118" s="28">
        <v>4162.1621621621616</v>
      </c>
      <c r="I1118" s="19" t="s">
        <v>367</v>
      </c>
      <c r="J1118" s="19" t="s">
        <v>368</v>
      </c>
      <c r="K1118" s="32" t="s">
        <v>369</v>
      </c>
      <c r="L1118" s="22"/>
      <c r="M1118" s="22"/>
      <c r="N1118" s="22"/>
      <c r="O1118" s="20" t="s">
        <v>15</v>
      </c>
      <c r="P1118" s="25" t="s">
        <v>16</v>
      </c>
      <c r="Q1118" s="16">
        <v>2958465</v>
      </c>
    </row>
    <row r="1119" spans="1:20">
      <c r="A1119" s="11">
        <f t="shared" si="17"/>
        <v>1118</v>
      </c>
      <c r="B1119" s="11">
        <v>8030020917</v>
      </c>
      <c r="C1119" s="25" t="s">
        <v>427</v>
      </c>
      <c r="D1119" s="27">
        <v>12200</v>
      </c>
      <c r="E1119" s="11">
        <v>0.35</v>
      </c>
      <c r="F1119" s="11" t="s">
        <v>11</v>
      </c>
      <c r="G1119" s="44">
        <v>4270</v>
      </c>
      <c r="H1119" s="28">
        <v>3846.8468468468463</v>
      </c>
      <c r="I1119" s="19" t="s">
        <v>367</v>
      </c>
      <c r="J1119" s="19" t="s">
        <v>368</v>
      </c>
      <c r="K1119" s="32" t="s">
        <v>369</v>
      </c>
      <c r="L1119" s="22"/>
      <c r="M1119" s="22"/>
      <c r="N1119" s="22"/>
      <c r="O1119" s="20" t="s">
        <v>15</v>
      </c>
      <c r="P1119" s="25" t="s">
        <v>16</v>
      </c>
      <c r="Q1119" s="16">
        <v>2958465</v>
      </c>
    </row>
    <row r="1120" spans="1:20">
      <c r="A1120" s="11">
        <f t="shared" si="17"/>
        <v>1119</v>
      </c>
      <c r="B1120" s="11">
        <v>8030020918</v>
      </c>
      <c r="C1120" s="25" t="s">
        <v>432</v>
      </c>
      <c r="D1120" s="27">
        <v>12600</v>
      </c>
      <c r="E1120" s="11">
        <v>0.35</v>
      </c>
      <c r="F1120" s="11" t="s">
        <v>11</v>
      </c>
      <c r="G1120" s="44">
        <v>4410</v>
      </c>
      <c r="H1120" s="28">
        <v>3972.9729729729725</v>
      </c>
      <c r="I1120" s="19" t="s">
        <v>367</v>
      </c>
      <c r="J1120" s="19" t="s">
        <v>368</v>
      </c>
      <c r="K1120" s="32" t="s">
        <v>369</v>
      </c>
      <c r="L1120" s="22"/>
      <c r="M1120" s="22"/>
      <c r="N1120" s="22"/>
      <c r="O1120" s="20" t="s">
        <v>15</v>
      </c>
      <c r="P1120" s="25" t="s">
        <v>16</v>
      </c>
      <c r="Q1120" s="16">
        <v>2958465</v>
      </c>
    </row>
    <row r="1121" spans="1:17">
      <c r="A1121" s="11">
        <f t="shared" si="17"/>
        <v>1120</v>
      </c>
      <c r="B1121" s="11">
        <v>8030020920</v>
      </c>
      <c r="C1121" s="25" t="s">
        <v>428</v>
      </c>
      <c r="D1121" s="27">
        <v>2115</v>
      </c>
      <c r="E1121" s="11">
        <v>0.35</v>
      </c>
      <c r="F1121" s="11" t="s">
        <v>11</v>
      </c>
      <c r="G1121" s="44">
        <v>740</v>
      </c>
      <c r="H1121" s="28">
        <v>666.66666666666663</v>
      </c>
      <c r="I1121" s="19" t="s">
        <v>367</v>
      </c>
      <c r="J1121" s="19" t="s">
        <v>368</v>
      </c>
      <c r="K1121" s="32" t="s">
        <v>369</v>
      </c>
      <c r="L1121" s="22"/>
      <c r="M1121" s="22"/>
      <c r="N1121" s="22"/>
      <c r="O1121" s="20" t="s">
        <v>15</v>
      </c>
      <c r="P1121" s="25" t="s">
        <v>16</v>
      </c>
      <c r="Q1121" s="16">
        <v>2958465</v>
      </c>
    </row>
    <row r="1122" spans="1:17">
      <c r="A1122" s="11">
        <f t="shared" si="17"/>
        <v>1121</v>
      </c>
      <c r="B1122" s="11">
        <v>8030020935</v>
      </c>
      <c r="C1122" s="25" t="s">
        <v>429</v>
      </c>
      <c r="D1122" s="27">
        <v>11550</v>
      </c>
      <c r="E1122" s="11">
        <v>0.35</v>
      </c>
      <c r="F1122" s="11" t="s">
        <v>11</v>
      </c>
      <c r="G1122" s="44">
        <v>4043</v>
      </c>
      <c r="H1122" s="28">
        <v>3642.3423423423419</v>
      </c>
      <c r="I1122" s="19" t="s">
        <v>367</v>
      </c>
      <c r="J1122" s="19" t="s">
        <v>368</v>
      </c>
      <c r="K1122" s="32" t="s">
        <v>369</v>
      </c>
      <c r="L1122" s="22"/>
      <c r="M1122" s="22"/>
      <c r="N1122" s="22"/>
      <c r="O1122" s="20" t="s">
        <v>15</v>
      </c>
      <c r="P1122" s="25" t="s">
        <v>16</v>
      </c>
      <c r="Q1122" s="16">
        <v>2958465</v>
      </c>
    </row>
    <row r="1123" spans="1:17">
      <c r="A1123" s="11">
        <f t="shared" si="17"/>
        <v>1122</v>
      </c>
      <c r="B1123" s="11">
        <v>8030020936</v>
      </c>
      <c r="C1123" s="25" t="s">
        <v>430</v>
      </c>
      <c r="D1123" s="27">
        <v>11550</v>
      </c>
      <c r="E1123" s="11">
        <v>0.35</v>
      </c>
      <c r="F1123" s="11" t="s">
        <v>11</v>
      </c>
      <c r="G1123" s="44">
        <v>4043</v>
      </c>
      <c r="H1123" s="28">
        <v>3642.3423423423419</v>
      </c>
      <c r="I1123" s="19" t="s">
        <v>367</v>
      </c>
      <c r="J1123" s="19" t="s">
        <v>368</v>
      </c>
      <c r="K1123" s="32" t="s">
        <v>369</v>
      </c>
      <c r="L1123" s="22"/>
      <c r="M1123" s="22"/>
      <c r="N1123" s="22"/>
      <c r="O1123" s="20" t="s">
        <v>15</v>
      </c>
      <c r="P1123" s="25" t="s">
        <v>16</v>
      </c>
      <c r="Q1123" s="16">
        <v>2958465</v>
      </c>
    </row>
    <row r="1124" spans="1:17">
      <c r="A1124" s="11">
        <f t="shared" si="17"/>
        <v>1123</v>
      </c>
      <c r="B1124" s="11">
        <v>8030021111</v>
      </c>
      <c r="C1124" s="25" t="s">
        <v>431</v>
      </c>
      <c r="D1124" s="27">
        <v>600</v>
      </c>
      <c r="E1124" s="11">
        <v>0.35</v>
      </c>
      <c r="F1124" s="11" t="s">
        <v>11</v>
      </c>
      <c r="G1124" s="44">
        <v>210</v>
      </c>
      <c r="H1124" s="28">
        <v>189.18918918918916</v>
      </c>
      <c r="I1124" s="19" t="s">
        <v>367</v>
      </c>
      <c r="J1124" s="19" t="s">
        <v>368</v>
      </c>
      <c r="K1124" s="32" t="s">
        <v>369</v>
      </c>
      <c r="L1124" s="22"/>
      <c r="M1124" s="22"/>
      <c r="N1124" s="22"/>
      <c r="O1124" s="20" t="s">
        <v>15</v>
      </c>
      <c r="P1124" s="25" t="s">
        <v>16</v>
      </c>
      <c r="Q1124" s="16">
        <v>2958465</v>
      </c>
    </row>
    <row r="1125" spans="1:17">
      <c r="A1125" s="11">
        <f t="shared" si="17"/>
        <v>1124</v>
      </c>
      <c r="B1125" s="11">
        <v>8030021112</v>
      </c>
      <c r="C1125" s="25" t="s">
        <v>412</v>
      </c>
      <c r="D1125" s="27">
        <v>1050</v>
      </c>
      <c r="E1125" s="11">
        <v>0.35</v>
      </c>
      <c r="F1125" s="11" t="s">
        <v>11</v>
      </c>
      <c r="G1125" s="44">
        <v>368</v>
      </c>
      <c r="H1125" s="28">
        <v>331.53153153153153</v>
      </c>
      <c r="I1125" s="19" t="s">
        <v>367</v>
      </c>
      <c r="J1125" s="19" t="s">
        <v>368</v>
      </c>
      <c r="K1125" s="32" t="s">
        <v>369</v>
      </c>
      <c r="L1125" s="22"/>
      <c r="M1125" s="22"/>
      <c r="N1125" s="22"/>
      <c r="O1125" s="20" t="s">
        <v>15</v>
      </c>
      <c r="P1125" s="25" t="s">
        <v>16</v>
      </c>
      <c r="Q1125" s="16">
        <v>2958465</v>
      </c>
    </row>
    <row r="1126" spans="1:17">
      <c r="A1126" s="11">
        <f t="shared" si="17"/>
        <v>1125</v>
      </c>
      <c r="B1126" s="11">
        <v>8030021130</v>
      </c>
      <c r="C1126" s="25" t="s">
        <v>401</v>
      </c>
      <c r="D1126" s="27">
        <v>9450</v>
      </c>
      <c r="E1126" s="11">
        <v>0.35</v>
      </c>
      <c r="F1126" s="11" t="s">
        <v>11</v>
      </c>
      <c r="G1126" s="44">
        <v>3308</v>
      </c>
      <c r="H1126" s="28">
        <v>2980.1801801801798</v>
      </c>
      <c r="I1126" s="19" t="s">
        <v>367</v>
      </c>
      <c r="J1126" s="19" t="s">
        <v>368</v>
      </c>
      <c r="K1126" s="32" t="s">
        <v>369</v>
      </c>
      <c r="L1126" s="22"/>
      <c r="M1126" s="22"/>
      <c r="N1126" s="22"/>
      <c r="O1126" s="20" t="s">
        <v>15</v>
      </c>
      <c r="P1126" s="25" t="s">
        <v>16</v>
      </c>
      <c r="Q1126" s="16">
        <v>2958465</v>
      </c>
    </row>
    <row r="1127" spans="1:17">
      <c r="A1127" s="11">
        <f t="shared" si="17"/>
        <v>1126</v>
      </c>
      <c r="B1127" s="11">
        <v>8030021168</v>
      </c>
      <c r="C1127" s="25" t="s">
        <v>402</v>
      </c>
      <c r="D1127" s="27">
        <v>10500</v>
      </c>
      <c r="E1127" s="11">
        <v>0.35</v>
      </c>
      <c r="F1127" s="11" t="s">
        <v>11</v>
      </c>
      <c r="G1127" s="44">
        <v>3675</v>
      </c>
      <c r="H1127" s="28">
        <v>3310.8108108108104</v>
      </c>
      <c r="I1127" s="19" t="s">
        <v>367</v>
      </c>
      <c r="J1127" s="19" t="s">
        <v>368</v>
      </c>
      <c r="K1127" s="32" t="s">
        <v>369</v>
      </c>
      <c r="L1127" s="22"/>
      <c r="M1127" s="22"/>
      <c r="N1127" s="22"/>
      <c r="O1127" s="20" t="s">
        <v>15</v>
      </c>
      <c r="P1127" s="25" t="s">
        <v>16</v>
      </c>
      <c r="Q1127" s="16">
        <v>2958465</v>
      </c>
    </row>
    <row r="1128" spans="1:17">
      <c r="A1128" s="11">
        <f t="shared" si="17"/>
        <v>1127</v>
      </c>
      <c r="B1128" s="11">
        <v>8030021196</v>
      </c>
      <c r="C1128" s="25" t="s">
        <v>403</v>
      </c>
      <c r="D1128" s="27">
        <v>4200</v>
      </c>
      <c r="E1128" s="11">
        <v>0.35</v>
      </c>
      <c r="F1128" s="11" t="s">
        <v>11</v>
      </c>
      <c r="G1128" s="44">
        <v>1470</v>
      </c>
      <c r="H1128" s="28">
        <v>1324.3243243243242</v>
      </c>
      <c r="I1128" s="19" t="s">
        <v>367</v>
      </c>
      <c r="J1128" s="19" t="s">
        <v>368</v>
      </c>
      <c r="K1128" s="32" t="s">
        <v>369</v>
      </c>
      <c r="L1128" s="22"/>
      <c r="M1128" s="22"/>
      <c r="N1128" s="22"/>
      <c r="O1128" s="20" t="s">
        <v>15</v>
      </c>
      <c r="P1128" s="25" t="s">
        <v>16</v>
      </c>
      <c r="Q1128" s="16">
        <v>2958465</v>
      </c>
    </row>
    <row r="1129" spans="1:17">
      <c r="A1129" s="11">
        <f t="shared" si="17"/>
        <v>1128</v>
      </c>
      <c r="B1129" s="11">
        <v>8030021212</v>
      </c>
      <c r="C1129" s="25" t="s">
        <v>404</v>
      </c>
      <c r="D1129" s="27">
        <v>5250</v>
      </c>
      <c r="E1129" s="11">
        <v>0.35</v>
      </c>
      <c r="F1129" s="11" t="s">
        <v>11</v>
      </c>
      <c r="G1129" s="44">
        <v>1838</v>
      </c>
      <c r="H1129" s="28">
        <v>1655.8558558558557</v>
      </c>
      <c r="I1129" s="19" t="s">
        <v>367</v>
      </c>
      <c r="J1129" s="19" t="s">
        <v>368</v>
      </c>
      <c r="K1129" s="32" t="s">
        <v>369</v>
      </c>
      <c r="L1129" s="22"/>
      <c r="M1129" s="22"/>
      <c r="N1129" s="22"/>
      <c r="O1129" s="20" t="s">
        <v>15</v>
      </c>
      <c r="P1129" s="25" t="s">
        <v>16</v>
      </c>
      <c r="Q1129" s="16">
        <v>2958465</v>
      </c>
    </row>
    <row r="1130" spans="1:17">
      <c r="A1130" s="11">
        <f t="shared" si="17"/>
        <v>1129</v>
      </c>
      <c r="B1130" s="11">
        <v>8030021213</v>
      </c>
      <c r="C1130" s="25" t="s">
        <v>405</v>
      </c>
      <c r="D1130" s="27">
        <v>7350</v>
      </c>
      <c r="E1130" s="11">
        <v>0.35</v>
      </c>
      <c r="F1130" s="11" t="s">
        <v>11</v>
      </c>
      <c r="G1130" s="44">
        <v>2573</v>
      </c>
      <c r="H1130" s="28">
        <v>2318.0180180180178</v>
      </c>
      <c r="I1130" s="19" t="s">
        <v>367</v>
      </c>
      <c r="J1130" s="19" t="s">
        <v>368</v>
      </c>
      <c r="K1130" s="32" t="s">
        <v>369</v>
      </c>
      <c r="L1130" s="22"/>
      <c r="M1130" s="22"/>
      <c r="N1130" s="22"/>
      <c r="O1130" s="20" t="s">
        <v>15</v>
      </c>
      <c r="P1130" s="25" t="s">
        <v>16</v>
      </c>
      <c r="Q1130" s="16">
        <v>2958465</v>
      </c>
    </row>
    <row r="1131" spans="1:17">
      <c r="A1131" s="11">
        <f t="shared" si="17"/>
        <v>1130</v>
      </c>
      <c r="B1131" s="11">
        <v>8030021225</v>
      </c>
      <c r="C1131" s="25" t="s">
        <v>531</v>
      </c>
      <c r="D1131" s="27">
        <v>1953</v>
      </c>
      <c r="E1131" s="11">
        <v>0.28999999999999998</v>
      </c>
      <c r="F1131" s="11" t="s">
        <v>11</v>
      </c>
      <c r="G1131" s="44">
        <v>566</v>
      </c>
      <c r="H1131" s="28">
        <v>509.90990990990986</v>
      </c>
      <c r="I1131" s="19" t="s">
        <v>367</v>
      </c>
      <c r="J1131" s="19" t="s">
        <v>368</v>
      </c>
      <c r="K1131" s="32" t="s">
        <v>532</v>
      </c>
      <c r="L1131" s="22"/>
      <c r="M1131" s="22"/>
      <c r="N1131" s="22"/>
      <c r="O1131" s="20" t="s">
        <v>15</v>
      </c>
      <c r="P1131" s="25" t="s">
        <v>16</v>
      </c>
      <c r="Q1131" s="16">
        <v>2958465</v>
      </c>
    </row>
    <row r="1132" spans="1:17">
      <c r="A1132" s="11">
        <f t="shared" si="17"/>
        <v>1131</v>
      </c>
      <c r="B1132" s="11">
        <v>8030021230</v>
      </c>
      <c r="C1132" s="25" t="s">
        <v>406</v>
      </c>
      <c r="D1132" s="27">
        <v>2100</v>
      </c>
      <c r="E1132" s="11">
        <v>0.35</v>
      </c>
      <c r="F1132" s="11" t="s">
        <v>11</v>
      </c>
      <c r="G1132" s="44">
        <v>735</v>
      </c>
      <c r="H1132" s="28">
        <v>662.16216216216208</v>
      </c>
      <c r="I1132" s="19" t="s">
        <v>367</v>
      </c>
      <c r="J1132" s="19" t="s">
        <v>368</v>
      </c>
      <c r="K1132" s="32" t="s">
        <v>369</v>
      </c>
      <c r="L1132" s="22"/>
      <c r="M1132" s="22"/>
      <c r="N1132" s="22"/>
      <c r="O1132" s="20" t="s">
        <v>15</v>
      </c>
      <c r="P1132" s="25" t="s">
        <v>16</v>
      </c>
      <c r="Q1132" s="16">
        <v>2958465</v>
      </c>
    </row>
    <row r="1133" spans="1:17">
      <c r="A1133" s="11">
        <f t="shared" si="17"/>
        <v>1132</v>
      </c>
      <c r="B1133" s="11">
        <v>8030021231</v>
      </c>
      <c r="C1133" s="25" t="s">
        <v>407</v>
      </c>
      <c r="D1133" s="27">
        <v>3150</v>
      </c>
      <c r="E1133" s="11">
        <v>0.35</v>
      </c>
      <c r="F1133" s="11" t="s">
        <v>11</v>
      </c>
      <c r="G1133" s="44">
        <v>1103</v>
      </c>
      <c r="H1133" s="28">
        <v>993.6936936936936</v>
      </c>
      <c r="I1133" s="19" t="s">
        <v>367</v>
      </c>
      <c r="J1133" s="19" t="s">
        <v>368</v>
      </c>
      <c r="K1133" s="32" t="s">
        <v>369</v>
      </c>
      <c r="L1133" s="22"/>
      <c r="M1133" s="22"/>
      <c r="N1133" s="22"/>
      <c r="O1133" s="20" t="s">
        <v>15</v>
      </c>
      <c r="P1133" s="25" t="s">
        <v>16</v>
      </c>
      <c r="Q1133" s="16">
        <v>2958465</v>
      </c>
    </row>
    <row r="1134" spans="1:17">
      <c r="A1134" s="11">
        <f t="shared" si="17"/>
        <v>1133</v>
      </c>
      <c r="B1134" s="11">
        <v>8030021234</v>
      </c>
      <c r="C1134" s="25" t="s">
        <v>408</v>
      </c>
      <c r="D1134" s="27">
        <v>2100</v>
      </c>
      <c r="E1134" s="11">
        <v>0.35</v>
      </c>
      <c r="F1134" s="11" t="s">
        <v>11</v>
      </c>
      <c r="G1134" s="44">
        <v>735</v>
      </c>
      <c r="H1134" s="28">
        <v>662.16216216216208</v>
      </c>
      <c r="I1134" s="19" t="s">
        <v>367</v>
      </c>
      <c r="J1134" s="19" t="s">
        <v>368</v>
      </c>
      <c r="K1134" s="32" t="s">
        <v>369</v>
      </c>
      <c r="L1134" s="22"/>
      <c r="M1134" s="22"/>
      <c r="N1134" s="22"/>
      <c r="O1134" s="20" t="s">
        <v>15</v>
      </c>
      <c r="P1134" s="25" t="s">
        <v>16</v>
      </c>
      <c r="Q1134" s="16">
        <v>2958465</v>
      </c>
    </row>
    <row r="1135" spans="1:17">
      <c r="A1135" s="11">
        <f t="shared" si="17"/>
        <v>1134</v>
      </c>
      <c r="B1135" s="11">
        <v>8030021235</v>
      </c>
      <c r="C1135" s="25" t="s">
        <v>409</v>
      </c>
      <c r="D1135" s="27">
        <v>14700</v>
      </c>
      <c r="E1135" s="11">
        <v>0.35</v>
      </c>
      <c r="F1135" s="11" t="s">
        <v>11</v>
      </c>
      <c r="G1135" s="44">
        <v>5145</v>
      </c>
      <c r="H1135" s="28">
        <v>4635.135135135135</v>
      </c>
      <c r="I1135" s="19" t="s">
        <v>367</v>
      </c>
      <c r="J1135" s="19" t="s">
        <v>368</v>
      </c>
      <c r="K1135" s="32" t="s">
        <v>369</v>
      </c>
      <c r="L1135" s="22"/>
      <c r="M1135" s="22"/>
      <c r="N1135" s="22"/>
      <c r="O1135" s="20" t="s">
        <v>15</v>
      </c>
      <c r="P1135" s="25" t="s">
        <v>16</v>
      </c>
      <c r="Q1135" s="16">
        <v>2958465</v>
      </c>
    </row>
    <row r="1136" spans="1:17">
      <c r="A1136" s="11">
        <f t="shared" si="17"/>
        <v>1135</v>
      </c>
      <c r="B1136" s="11">
        <v>8030021236</v>
      </c>
      <c r="C1136" s="25" t="s">
        <v>410</v>
      </c>
      <c r="D1136" s="27">
        <v>14700</v>
      </c>
      <c r="E1136" s="11">
        <v>0.35</v>
      </c>
      <c r="F1136" s="11" t="s">
        <v>11</v>
      </c>
      <c r="G1136" s="44">
        <v>5145</v>
      </c>
      <c r="H1136" s="28">
        <v>4635.135135135135</v>
      </c>
      <c r="I1136" s="19" t="s">
        <v>367</v>
      </c>
      <c r="J1136" s="19" t="s">
        <v>368</v>
      </c>
      <c r="K1136" s="32" t="s">
        <v>369</v>
      </c>
      <c r="L1136" s="22"/>
      <c r="M1136" s="22"/>
      <c r="N1136" s="22"/>
      <c r="O1136" s="20" t="s">
        <v>15</v>
      </c>
      <c r="P1136" s="25" t="s">
        <v>16</v>
      </c>
      <c r="Q1136" s="16">
        <v>2958465</v>
      </c>
    </row>
    <row r="1137" spans="1:17">
      <c r="A1137" s="11">
        <f t="shared" si="17"/>
        <v>1136</v>
      </c>
      <c r="B1137" s="11">
        <v>8030021292</v>
      </c>
      <c r="C1137" s="25" t="s">
        <v>433</v>
      </c>
      <c r="D1137" s="27">
        <v>8400</v>
      </c>
      <c r="E1137" s="11">
        <v>0.35</v>
      </c>
      <c r="F1137" s="11" t="s">
        <v>11</v>
      </c>
      <c r="G1137" s="44">
        <v>2940</v>
      </c>
      <c r="H1137" s="28">
        <v>2648.6486486486483</v>
      </c>
      <c r="I1137" s="19" t="s">
        <v>367</v>
      </c>
      <c r="J1137" s="19" t="s">
        <v>368</v>
      </c>
      <c r="K1137" s="32" t="s">
        <v>369</v>
      </c>
      <c r="L1137" s="22"/>
      <c r="M1137" s="22"/>
      <c r="N1137" s="22"/>
      <c r="O1137" s="20" t="s">
        <v>15</v>
      </c>
      <c r="P1137" s="25" t="s">
        <v>16</v>
      </c>
      <c r="Q1137" s="16">
        <v>2958465</v>
      </c>
    </row>
    <row r="1138" spans="1:17">
      <c r="A1138" s="11">
        <f t="shared" si="17"/>
        <v>1137</v>
      </c>
      <c r="B1138" s="11">
        <v>8030021397</v>
      </c>
      <c r="C1138" s="25" t="s">
        <v>523</v>
      </c>
      <c r="D1138" s="27">
        <v>10100</v>
      </c>
      <c r="E1138" s="11">
        <v>0.35</v>
      </c>
      <c r="F1138" s="11" t="s">
        <v>11</v>
      </c>
      <c r="G1138" s="44">
        <v>3535</v>
      </c>
      <c r="H1138" s="28">
        <v>3184.6846846846843</v>
      </c>
      <c r="I1138" s="19" t="s">
        <v>367</v>
      </c>
      <c r="J1138" s="19" t="s">
        <v>368</v>
      </c>
      <c r="K1138" s="32" t="s">
        <v>369</v>
      </c>
      <c r="L1138" s="22"/>
      <c r="M1138" s="22"/>
      <c r="N1138" s="22"/>
      <c r="O1138" s="20" t="s">
        <v>15</v>
      </c>
      <c r="P1138" s="25" t="s">
        <v>16</v>
      </c>
      <c r="Q1138" s="16">
        <v>2958465</v>
      </c>
    </row>
    <row r="1139" spans="1:17">
      <c r="A1139" s="11">
        <f t="shared" si="17"/>
        <v>1138</v>
      </c>
      <c r="B1139" s="11">
        <v>8030040024</v>
      </c>
      <c r="C1139" s="25" t="s">
        <v>411</v>
      </c>
      <c r="D1139" s="27">
        <v>13650</v>
      </c>
      <c r="E1139" s="11">
        <v>0.35</v>
      </c>
      <c r="F1139" s="11" t="s">
        <v>11</v>
      </c>
      <c r="G1139" s="44">
        <v>4778</v>
      </c>
      <c r="H1139" s="28">
        <v>4304.5045045045044</v>
      </c>
      <c r="I1139" s="19" t="s">
        <v>367</v>
      </c>
      <c r="J1139" s="19" t="s">
        <v>368</v>
      </c>
      <c r="K1139" s="32" t="s">
        <v>369</v>
      </c>
      <c r="L1139" s="22"/>
      <c r="M1139" s="22"/>
      <c r="N1139" s="22"/>
      <c r="O1139" s="20" t="s">
        <v>15</v>
      </c>
      <c r="P1139" s="25" t="s">
        <v>16</v>
      </c>
      <c r="Q1139" s="16">
        <v>2958465</v>
      </c>
    </row>
    <row r="1140" spans="1:17">
      <c r="A1140" s="11">
        <f t="shared" si="17"/>
        <v>1139</v>
      </c>
      <c r="B1140" s="11">
        <v>8030050055</v>
      </c>
      <c r="C1140" s="25" t="s">
        <v>525</v>
      </c>
      <c r="D1140" s="27">
        <v>13000</v>
      </c>
      <c r="E1140" s="11">
        <v>0.49</v>
      </c>
      <c r="F1140" s="11" t="s">
        <v>11</v>
      </c>
      <c r="G1140" s="44">
        <v>6370</v>
      </c>
      <c r="H1140" s="28">
        <v>5738.738738738738</v>
      </c>
      <c r="I1140" s="19" t="s">
        <v>367</v>
      </c>
      <c r="J1140" s="19" t="s">
        <v>368</v>
      </c>
      <c r="K1140" s="32" t="s">
        <v>526</v>
      </c>
      <c r="L1140" s="22"/>
      <c r="M1140" s="22"/>
      <c r="N1140" s="22"/>
      <c r="O1140" s="20" t="s">
        <v>15</v>
      </c>
      <c r="P1140" s="25" t="s">
        <v>16</v>
      </c>
      <c r="Q1140" s="16">
        <v>2958465</v>
      </c>
    </row>
    <row r="1141" spans="1:17">
      <c r="A1141" s="11">
        <f t="shared" si="17"/>
        <v>1140</v>
      </c>
      <c r="B1141" s="12">
        <v>8030050068</v>
      </c>
      <c r="C1141" s="30" t="s">
        <v>1302</v>
      </c>
      <c r="D1141" s="30"/>
      <c r="E1141" s="30"/>
      <c r="F1141" s="30"/>
      <c r="G1141" s="43">
        <v>5786</v>
      </c>
      <c r="H1141" s="31">
        <v>5212.6126126126119</v>
      </c>
      <c r="I1141" s="13" t="s">
        <v>367</v>
      </c>
      <c r="J1141" s="13" t="s">
        <v>368</v>
      </c>
      <c r="K1141" s="14" t="s">
        <v>1265</v>
      </c>
      <c r="L1141" s="12" t="s">
        <v>1266</v>
      </c>
      <c r="M1141" s="12" t="s">
        <v>11</v>
      </c>
      <c r="N1141" s="15" t="s">
        <v>1267</v>
      </c>
      <c r="O1141" s="15" t="s">
        <v>15</v>
      </c>
      <c r="P1141" s="12" t="s">
        <v>16</v>
      </c>
      <c r="Q1141" s="16">
        <v>2958465</v>
      </c>
    </row>
    <row r="1142" spans="1:17">
      <c r="A1142" s="11">
        <f t="shared" si="17"/>
        <v>1141</v>
      </c>
      <c r="B1142" s="12">
        <v>8030050076</v>
      </c>
      <c r="C1142" s="30" t="s">
        <v>1329</v>
      </c>
      <c r="D1142" s="30"/>
      <c r="E1142" s="30"/>
      <c r="F1142" s="30"/>
      <c r="G1142" s="43">
        <v>7503</v>
      </c>
      <c r="H1142" s="31">
        <v>6759.4594594594591</v>
      </c>
      <c r="I1142" s="13" t="s">
        <v>367</v>
      </c>
      <c r="J1142" s="13" t="s">
        <v>368</v>
      </c>
      <c r="K1142" s="14" t="s">
        <v>1265</v>
      </c>
      <c r="L1142" s="12" t="s">
        <v>1266</v>
      </c>
      <c r="M1142" s="12" t="s">
        <v>11</v>
      </c>
      <c r="N1142" s="15" t="s">
        <v>1267</v>
      </c>
      <c r="O1142" s="15" t="s">
        <v>15</v>
      </c>
      <c r="P1142" s="12" t="s">
        <v>1330</v>
      </c>
      <c r="Q1142" s="16">
        <v>2958465</v>
      </c>
    </row>
    <row r="1143" spans="1:17">
      <c r="A1143" s="11">
        <f t="shared" si="17"/>
        <v>1142</v>
      </c>
      <c r="B1143" s="12">
        <v>8030050080</v>
      </c>
      <c r="C1143" s="30" t="s">
        <v>1303</v>
      </c>
      <c r="D1143" s="30"/>
      <c r="E1143" s="30"/>
      <c r="F1143" s="30"/>
      <c r="G1143" s="43">
        <v>8424</v>
      </c>
      <c r="H1143" s="31">
        <v>7589.1891891891883</v>
      </c>
      <c r="I1143" s="13" t="s">
        <v>367</v>
      </c>
      <c r="J1143" s="13" t="s">
        <v>368</v>
      </c>
      <c r="K1143" s="14" t="s">
        <v>1265</v>
      </c>
      <c r="L1143" s="12" t="s">
        <v>1266</v>
      </c>
      <c r="M1143" s="12" t="s">
        <v>11</v>
      </c>
      <c r="N1143" s="15" t="s">
        <v>1267</v>
      </c>
      <c r="O1143" s="15" t="s">
        <v>15</v>
      </c>
      <c r="P1143" s="12" t="s">
        <v>16</v>
      </c>
      <c r="Q1143" s="16">
        <v>2958465</v>
      </c>
    </row>
    <row r="1144" spans="1:17">
      <c r="A1144" s="11">
        <f t="shared" si="17"/>
        <v>1143</v>
      </c>
      <c r="B1144" s="12">
        <v>8030050090</v>
      </c>
      <c r="C1144" s="30" t="s">
        <v>1304</v>
      </c>
      <c r="D1144" s="30"/>
      <c r="E1144" s="30"/>
      <c r="F1144" s="30"/>
      <c r="G1144" s="43">
        <v>13070</v>
      </c>
      <c r="H1144" s="31">
        <v>11774.774774774774</v>
      </c>
      <c r="I1144" s="13" t="s">
        <v>367</v>
      </c>
      <c r="J1144" s="13" t="s">
        <v>368</v>
      </c>
      <c r="K1144" s="14" t="s">
        <v>1265</v>
      </c>
      <c r="L1144" s="12" t="s">
        <v>1266</v>
      </c>
      <c r="M1144" s="12" t="s">
        <v>11</v>
      </c>
      <c r="N1144" s="15" t="s">
        <v>1267</v>
      </c>
      <c r="O1144" s="15" t="s">
        <v>15</v>
      </c>
      <c r="P1144" s="12" t="s">
        <v>16</v>
      </c>
      <c r="Q1144" s="16">
        <v>2958465</v>
      </c>
    </row>
    <row r="1145" spans="1:17">
      <c r="A1145" s="11">
        <f t="shared" si="17"/>
        <v>1144</v>
      </c>
      <c r="B1145" s="11">
        <v>8030050101</v>
      </c>
      <c r="C1145" s="25" t="s">
        <v>527</v>
      </c>
      <c r="D1145" s="27">
        <v>46000</v>
      </c>
      <c r="E1145" s="11">
        <v>0.49</v>
      </c>
      <c r="F1145" s="11" t="s">
        <v>11</v>
      </c>
      <c r="G1145" s="44">
        <v>22540</v>
      </c>
      <c r="H1145" s="28">
        <v>20306.306306306305</v>
      </c>
      <c r="I1145" s="19" t="s">
        <v>367</v>
      </c>
      <c r="J1145" s="19" t="s">
        <v>368</v>
      </c>
      <c r="K1145" s="32" t="s">
        <v>526</v>
      </c>
      <c r="L1145" s="22"/>
      <c r="M1145" s="22"/>
      <c r="N1145" s="22"/>
      <c r="O1145" s="20" t="s">
        <v>15</v>
      </c>
      <c r="P1145" s="25" t="s">
        <v>16</v>
      </c>
      <c r="Q1145" s="16">
        <v>2958465</v>
      </c>
    </row>
    <row r="1146" spans="1:17">
      <c r="A1146" s="11">
        <f t="shared" si="17"/>
        <v>1145</v>
      </c>
      <c r="B1146" s="11">
        <v>8030050110</v>
      </c>
      <c r="C1146" s="25" t="s">
        <v>528</v>
      </c>
      <c r="D1146" s="27">
        <v>73000</v>
      </c>
      <c r="E1146" s="11">
        <v>0.49</v>
      </c>
      <c r="F1146" s="11" t="s">
        <v>11</v>
      </c>
      <c r="G1146" s="44">
        <v>35770</v>
      </c>
      <c r="H1146" s="28">
        <v>32225.225225225222</v>
      </c>
      <c r="I1146" s="19" t="s">
        <v>367</v>
      </c>
      <c r="J1146" s="19" t="s">
        <v>368</v>
      </c>
      <c r="K1146" s="32" t="s">
        <v>526</v>
      </c>
      <c r="L1146" s="22"/>
      <c r="M1146" s="22"/>
      <c r="N1146" s="22"/>
      <c r="O1146" s="20" t="s">
        <v>15</v>
      </c>
      <c r="P1146" s="25" t="s">
        <v>16</v>
      </c>
      <c r="Q1146" s="16">
        <v>2958465</v>
      </c>
    </row>
    <row r="1147" spans="1:17" ht="13.8">
      <c r="A1147" s="11">
        <f t="shared" si="17"/>
        <v>1146</v>
      </c>
      <c r="B1147" s="11">
        <v>8030051550</v>
      </c>
      <c r="C1147" s="25" t="s">
        <v>529</v>
      </c>
      <c r="D1147" s="27">
        <v>16000</v>
      </c>
      <c r="E1147" s="11">
        <v>0.49</v>
      </c>
      <c r="F1147" s="11" t="s">
        <v>11</v>
      </c>
      <c r="G1147" s="44">
        <v>7840</v>
      </c>
      <c r="H1147" s="28">
        <v>7063.0630630630621</v>
      </c>
      <c r="I1147" s="19" t="s">
        <v>367</v>
      </c>
      <c r="J1147" s="19" t="s">
        <v>368</v>
      </c>
      <c r="K1147" s="32" t="s">
        <v>526</v>
      </c>
      <c r="L1147" s="22"/>
      <c r="M1147" s="22"/>
      <c r="N1147" s="22"/>
      <c r="O1147" s="20" t="s">
        <v>15</v>
      </c>
      <c r="P1147" s="25" t="s">
        <v>16</v>
      </c>
      <c r="Q1147" s="16">
        <v>2958465</v>
      </c>
    </row>
    <row r="1148" spans="1:17">
      <c r="A1148" s="11">
        <f t="shared" si="17"/>
        <v>1147</v>
      </c>
      <c r="B1148" s="12">
        <v>8030051700</v>
      </c>
      <c r="C1148" s="30" t="s">
        <v>1305</v>
      </c>
      <c r="D1148" s="30"/>
      <c r="E1148" s="30"/>
      <c r="F1148" s="30"/>
      <c r="G1148" s="43">
        <v>5406</v>
      </c>
      <c r="H1148" s="31">
        <v>4870.27027027027</v>
      </c>
      <c r="I1148" s="13" t="s">
        <v>367</v>
      </c>
      <c r="J1148" s="13" t="s">
        <v>368</v>
      </c>
      <c r="K1148" s="14" t="s">
        <v>1265</v>
      </c>
      <c r="L1148" s="12" t="s">
        <v>1266</v>
      </c>
      <c r="M1148" s="12" t="s">
        <v>11</v>
      </c>
      <c r="N1148" s="15" t="s">
        <v>1267</v>
      </c>
      <c r="O1148" s="15" t="s">
        <v>15</v>
      </c>
      <c r="P1148" s="12" t="s">
        <v>16</v>
      </c>
      <c r="Q1148" s="16">
        <v>2958465</v>
      </c>
    </row>
    <row r="1149" spans="1:17">
      <c r="A1149" s="11">
        <f t="shared" si="17"/>
        <v>1148</v>
      </c>
      <c r="B1149" s="12">
        <v>8030052245</v>
      </c>
      <c r="C1149" s="30" t="s">
        <v>1365</v>
      </c>
      <c r="D1149" s="30"/>
      <c r="E1149" s="30"/>
      <c r="F1149" s="30"/>
      <c r="G1149" s="43">
        <v>3919</v>
      </c>
      <c r="H1149" s="31">
        <v>3530.6306306306301</v>
      </c>
      <c r="I1149" s="13" t="s">
        <v>367</v>
      </c>
      <c r="J1149" s="13" t="s">
        <v>368</v>
      </c>
      <c r="K1149" s="14" t="s">
        <v>526</v>
      </c>
      <c r="L1149" s="12" t="s">
        <v>1266</v>
      </c>
      <c r="M1149" s="12" t="s">
        <v>11</v>
      </c>
      <c r="N1149" s="15" t="s">
        <v>1267</v>
      </c>
      <c r="O1149" s="15" t="s">
        <v>15</v>
      </c>
      <c r="P1149" s="12" t="s">
        <v>1366</v>
      </c>
      <c r="Q1149" s="16">
        <v>2958465</v>
      </c>
    </row>
    <row r="1150" spans="1:17">
      <c r="A1150" s="11">
        <f t="shared" si="17"/>
        <v>1149</v>
      </c>
      <c r="B1150" s="11">
        <v>8040320013</v>
      </c>
      <c r="C1150" s="25" t="s">
        <v>624</v>
      </c>
      <c r="D1150" s="27">
        <v>9000</v>
      </c>
      <c r="E1150" s="11">
        <v>0.45</v>
      </c>
      <c r="F1150" s="11" t="s">
        <v>11</v>
      </c>
      <c r="G1150" s="44">
        <v>4050</v>
      </c>
      <c r="H1150" s="28">
        <v>3648.6486486486483</v>
      </c>
      <c r="I1150" s="19" t="s">
        <v>544</v>
      </c>
      <c r="J1150" s="19" t="s">
        <v>545</v>
      </c>
      <c r="K1150" s="32" t="s">
        <v>546</v>
      </c>
      <c r="L1150" s="22"/>
      <c r="M1150" s="22"/>
      <c r="N1150" s="22"/>
      <c r="O1150" s="20" t="s">
        <v>15</v>
      </c>
      <c r="P1150" s="25" t="s">
        <v>16</v>
      </c>
      <c r="Q1150" s="16">
        <v>2958465</v>
      </c>
    </row>
    <row r="1151" spans="1:17">
      <c r="A1151" s="11">
        <f t="shared" si="17"/>
        <v>1150</v>
      </c>
      <c r="B1151" s="11">
        <v>8040320103</v>
      </c>
      <c r="C1151" s="25" t="s">
        <v>547</v>
      </c>
      <c r="D1151" s="27">
        <v>13900</v>
      </c>
      <c r="E1151" s="11">
        <v>0.45</v>
      </c>
      <c r="F1151" s="11" t="s">
        <v>11</v>
      </c>
      <c r="G1151" s="44">
        <v>6255</v>
      </c>
      <c r="H1151" s="28">
        <v>5635.135135135135</v>
      </c>
      <c r="I1151" s="19" t="s">
        <v>544</v>
      </c>
      <c r="J1151" s="19" t="s">
        <v>545</v>
      </c>
      <c r="K1151" s="32" t="s">
        <v>546</v>
      </c>
      <c r="L1151" s="22"/>
      <c r="M1151" s="22"/>
      <c r="N1151" s="22"/>
      <c r="O1151" s="20" t="s">
        <v>15</v>
      </c>
      <c r="P1151" s="25" t="s">
        <v>16</v>
      </c>
      <c r="Q1151" s="16">
        <v>2958465</v>
      </c>
    </row>
    <row r="1152" spans="1:17">
      <c r="A1152" s="11">
        <f t="shared" si="17"/>
        <v>1151</v>
      </c>
      <c r="B1152" s="11">
        <v>8040320104</v>
      </c>
      <c r="C1152" s="25" t="s">
        <v>565</v>
      </c>
      <c r="D1152" s="27">
        <v>23410</v>
      </c>
      <c r="E1152" s="11">
        <v>0.45</v>
      </c>
      <c r="F1152" s="11" t="s">
        <v>11</v>
      </c>
      <c r="G1152" s="44">
        <v>10535</v>
      </c>
      <c r="H1152" s="28">
        <v>9490.9909909909893</v>
      </c>
      <c r="I1152" s="19" t="s">
        <v>544</v>
      </c>
      <c r="J1152" s="19" t="s">
        <v>545</v>
      </c>
      <c r="K1152" s="32" t="s">
        <v>546</v>
      </c>
      <c r="L1152" s="22"/>
      <c r="M1152" s="22"/>
      <c r="N1152" s="22"/>
      <c r="O1152" s="20" t="s">
        <v>15</v>
      </c>
      <c r="P1152" s="25" t="s">
        <v>16</v>
      </c>
      <c r="Q1152" s="16">
        <v>2958465</v>
      </c>
    </row>
    <row r="1153" spans="1:20">
      <c r="A1153" s="11">
        <f t="shared" si="17"/>
        <v>1152</v>
      </c>
      <c r="B1153" s="11">
        <v>8040320105</v>
      </c>
      <c r="C1153" s="25" t="s">
        <v>556</v>
      </c>
      <c r="D1153" s="27">
        <v>15070</v>
      </c>
      <c r="E1153" s="11">
        <v>0.45</v>
      </c>
      <c r="F1153" s="11" t="s">
        <v>11</v>
      </c>
      <c r="G1153" s="44">
        <v>6782</v>
      </c>
      <c r="H1153" s="28">
        <v>6109.9099099099094</v>
      </c>
      <c r="I1153" s="19" t="s">
        <v>544</v>
      </c>
      <c r="J1153" s="19" t="s">
        <v>545</v>
      </c>
      <c r="K1153" s="32" t="s">
        <v>546</v>
      </c>
      <c r="L1153" s="22"/>
      <c r="M1153" s="22"/>
      <c r="N1153" s="22"/>
      <c r="O1153" s="20" t="s">
        <v>15</v>
      </c>
      <c r="P1153" s="25" t="s">
        <v>16</v>
      </c>
      <c r="Q1153" s="16">
        <v>2958465</v>
      </c>
    </row>
    <row r="1154" spans="1:20">
      <c r="A1154" s="11">
        <f t="shared" si="17"/>
        <v>1153</v>
      </c>
      <c r="B1154" s="11">
        <v>8040320106</v>
      </c>
      <c r="C1154" s="25" t="s">
        <v>609</v>
      </c>
      <c r="D1154" s="27">
        <v>8600</v>
      </c>
      <c r="E1154" s="11">
        <v>0.45</v>
      </c>
      <c r="F1154" s="11" t="s">
        <v>11</v>
      </c>
      <c r="G1154" s="44">
        <v>3870</v>
      </c>
      <c r="H1154" s="28">
        <v>3486.4864864864862</v>
      </c>
      <c r="I1154" s="19" t="s">
        <v>544</v>
      </c>
      <c r="J1154" s="19" t="s">
        <v>545</v>
      </c>
      <c r="K1154" s="32" t="s">
        <v>546</v>
      </c>
      <c r="L1154" s="22"/>
      <c r="M1154" s="22"/>
      <c r="N1154" s="22"/>
      <c r="O1154" s="20" t="s">
        <v>15</v>
      </c>
      <c r="P1154" s="25" t="s">
        <v>16</v>
      </c>
      <c r="Q1154" s="16">
        <v>2958465</v>
      </c>
    </row>
    <row r="1155" spans="1:20">
      <c r="A1155" s="11">
        <f t="shared" si="17"/>
        <v>1154</v>
      </c>
      <c r="B1155" s="11">
        <v>8040320107</v>
      </c>
      <c r="C1155" s="25" t="s">
        <v>1193</v>
      </c>
      <c r="D1155" s="27">
        <v>4335</v>
      </c>
      <c r="E1155" s="11">
        <v>0.51</v>
      </c>
      <c r="F1155" s="11" t="s">
        <v>11</v>
      </c>
      <c r="G1155" s="44">
        <v>2211</v>
      </c>
      <c r="H1155" s="28">
        <v>1991.8918918918916</v>
      </c>
      <c r="I1155" s="19" t="s">
        <v>544</v>
      </c>
      <c r="J1155" s="19" t="s">
        <v>545</v>
      </c>
      <c r="K1155" s="32" t="s">
        <v>656</v>
      </c>
      <c r="L1155" s="22"/>
      <c r="M1155" s="22"/>
      <c r="N1155" s="22"/>
      <c r="O1155" s="20" t="s">
        <v>15</v>
      </c>
      <c r="P1155" s="25" t="s">
        <v>1194</v>
      </c>
      <c r="Q1155" s="16">
        <v>2958465</v>
      </c>
      <c r="R1155" s="23"/>
      <c r="T1155" s="23"/>
    </row>
    <row r="1156" spans="1:20">
      <c r="A1156" s="11">
        <f t="shared" si="17"/>
        <v>1155</v>
      </c>
      <c r="B1156" s="11">
        <v>8040320108</v>
      </c>
      <c r="C1156" s="25" t="s">
        <v>648</v>
      </c>
      <c r="D1156" s="27">
        <v>18050</v>
      </c>
      <c r="E1156" s="11">
        <v>0.45</v>
      </c>
      <c r="F1156" s="11" t="s">
        <v>11</v>
      </c>
      <c r="G1156" s="44">
        <v>8123</v>
      </c>
      <c r="H1156" s="28">
        <v>7318.0180180180178</v>
      </c>
      <c r="I1156" s="19" t="s">
        <v>544</v>
      </c>
      <c r="J1156" s="19" t="s">
        <v>545</v>
      </c>
      <c r="K1156" s="32" t="s">
        <v>546</v>
      </c>
      <c r="L1156" s="22"/>
      <c r="M1156" s="22"/>
      <c r="N1156" s="22"/>
      <c r="O1156" s="20" t="s">
        <v>15</v>
      </c>
      <c r="P1156" s="25" t="s">
        <v>16</v>
      </c>
      <c r="Q1156" s="16">
        <v>2958465</v>
      </c>
    </row>
    <row r="1157" spans="1:20">
      <c r="A1157" s="11">
        <f t="shared" ref="A1157:A1220" si="18">ROW()-1</f>
        <v>1156</v>
      </c>
      <c r="B1157" s="11">
        <v>8040320109</v>
      </c>
      <c r="C1157" s="25" t="s">
        <v>636</v>
      </c>
      <c r="D1157" s="27">
        <v>11260</v>
      </c>
      <c r="E1157" s="11">
        <v>0.45</v>
      </c>
      <c r="F1157" s="11" t="s">
        <v>11</v>
      </c>
      <c r="G1157" s="44">
        <v>5067</v>
      </c>
      <c r="H1157" s="28">
        <v>4564.8648648648641</v>
      </c>
      <c r="I1157" s="19" t="s">
        <v>544</v>
      </c>
      <c r="J1157" s="19" t="s">
        <v>545</v>
      </c>
      <c r="K1157" s="32" t="s">
        <v>546</v>
      </c>
      <c r="L1157" s="22"/>
      <c r="M1157" s="22"/>
      <c r="N1157" s="22"/>
      <c r="O1157" s="20" t="s">
        <v>15</v>
      </c>
      <c r="P1157" s="25" t="s">
        <v>16</v>
      </c>
      <c r="Q1157" s="16">
        <v>2958465</v>
      </c>
    </row>
    <row r="1158" spans="1:20">
      <c r="A1158" s="11">
        <f t="shared" si="18"/>
        <v>1157</v>
      </c>
      <c r="B1158" s="11">
        <v>8040320110</v>
      </c>
      <c r="C1158" s="25" t="s">
        <v>642</v>
      </c>
      <c r="D1158" s="27">
        <v>23330</v>
      </c>
      <c r="E1158" s="11">
        <v>0.45</v>
      </c>
      <c r="F1158" s="11" t="s">
        <v>11</v>
      </c>
      <c r="G1158" s="44">
        <v>10499</v>
      </c>
      <c r="H1158" s="28">
        <v>9458.5585585585577</v>
      </c>
      <c r="I1158" s="19" t="s">
        <v>544</v>
      </c>
      <c r="J1158" s="19" t="s">
        <v>545</v>
      </c>
      <c r="K1158" s="32" t="s">
        <v>546</v>
      </c>
      <c r="L1158" s="22"/>
      <c r="M1158" s="22"/>
      <c r="N1158" s="22"/>
      <c r="O1158" s="20" t="s">
        <v>15</v>
      </c>
      <c r="P1158" s="25" t="s">
        <v>16</v>
      </c>
      <c r="Q1158" s="16">
        <v>2958465</v>
      </c>
    </row>
    <row r="1159" spans="1:20">
      <c r="A1159" s="11">
        <f t="shared" si="18"/>
        <v>1158</v>
      </c>
      <c r="B1159" s="11">
        <v>8040320111</v>
      </c>
      <c r="C1159" s="25" t="s">
        <v>618</v>
      </c>
      <c r="D1159" s="27">
        <v>11000</v>
      </c>
      <c r="E1159" s="11">
        <v>0.45</v>
      </c>
      <c r="F1159" s="11" t="s">
        <v>11</v>
      </c>
      <c r="G1159" s="44">
        <v>4950</v>
      </c>
      <c r="H1159" s="28">
        <v>4459.4594594594591</v>
      </c>
      <c r="I1159" s="19" t="s">
        <v>544</v>
      </c>
      <c r="J1159" s="19" t="s">
        <v>545</v>
      </c>
      <c r="K1159" s="32" t="s">
        <v>546</v>
      </c>
      <c r="L1159" s="22"/>
      <c r="M1159" s="22"/>
      <c r="N1159" s="22"/>
      <c r="O1159" s="20" t="s">
        <v>15</v>
      </c>
      <c r="P1159" s="25" t="s">
        <v>16</v>
      </c>
      <c r="Q1159" s="16">
        <v>2958465</v>
      </c>
    </row>
    <row r="1160" spans="1:20">
      <c r="A1160" s="11">
        <f t="shared" si="18"/>
        <v>1159</v>
      </c>
      <c r="B1160" s="11">
        <v>8040320112</v>
      </c>
      <c r="C1160" s="25" t="s">
        <v>548</v>
      </c>
      <c r="D1160" s="27">
        <v>19860</v>
      </c>
      <c r="E1160" s="11">
        <v>0.45</v>
      </c>
      <c r="F1160" s="11" t="s">
        <v>11</v>
      </c>
      <c r="G1160" s="44">
        <v>8937</v>
      </c>
      <c r="H1160" s="28">
        <v>8051.3513513513508</v>
      </c>
      <c r="I1160" s="19" t="s">
        <v>544</v>
      </c>
      <c r="J1160" s="19" t="s">
        <v>545</v>
      </c>
      <c r="K1160" s="32" t="s">
        <v>546</v>
      </c>
      <c r="L1160" s="22"/>
      <c r="M1160" s="22"/>
      <c r="N1160" s="22"/>
      <c r="O1160" s="20" t="s">
        <v>15</v>
      </c>
      <c r="P1160" s="25" t="s">
        <v>16</v>
      </c>
      <c r="Q1160" s="16">
        <v>2958465</v>
      </c>
    </row>
    <row r="1161" spans="1:20">
      <c r="A1161" s="11">
        <f t="shared" si="18"/>
        <v>1160</v>
      </c>
      <c r="B1161" s="11">
        <v>8040320113</v>
      </c>
      <c r="C1161" s="25" t="s">
        <v>566</v>
      </c>
      <c r="D1161" s="27">
        <v>33100</v>
      </c>
      <c r="E1161" s="11">
        <v>0.45</v>
      </c>
      <c r="F1161" s="11" t="s">
        <v>11</v>
      </c>
      <c r="G1161" s="44">
        <v>14895</v>
      </c>
      <c r="H1161" s="28">
        <v>13418.918918918918</v>
      </c>
      <c r="I1161" s="19" t="s">
        <v>544</v>
      </c>
      <c r="J1161" s="19" t="s">
        <v>545</v>
      </c>
      <c r="K1161" s="32" t="s">
        <v>546</v>
      </c>
      <c r="L1161" s="22"/>
      <c r="M1161" s="22"/>
      <c r="N1161" s="22"/>
      <c r="O1161" s="20" t="s">
        <v>15</v>
      </c>
      <c r="P1161" s="25" t="s">
        <v>16</v>
      </c>
      <c r="Q1161" s="16">
        <v>2958465</v>
      </c>
    </row>
    <row r="1162" spans="1:20">
      <c r="A1162" s="11">
        <f t="shared" si="18"/>
        <v>1161</v>
      </c>
      <c r="B1162" s="11">
        <v>8040320114</v>
      </c>
      <c r="C1162" s="25" t="s">
        <v>557</v>
      </c>
      <c r="D1162" s="27">
        <v>21240</v>
      </c>
      <c r="E1162" s="11">
        <v>0.45</v>
      </c>
      <c r="F1162" s="11" t="s">
        <v>11</v>
      </c>
      <c r="G1162" s="44">
        <v>9558</v>
      </c>
      <c r="H1162" s="28">
        <v>8610.8108108108099</v>
      </c>
      <c r="I1162" s="19" t="s">
        <v>544</v>
      </c>
      <c r="J1162" s="19" t="s">
        <v>545</v>
      </c>
      <c r="K1162" s="32" t="s">
        <v>546</v>
      </c>
      <c r="L1162" s="22"/>
      <c r="M1162" s="22"/>
      <c r="N1162" s="22"/>
      <c r="O1162" s="20" t="s">
        <v>15</v>
      </c>
      <c r="P1162" s="25" t="s">
        <v>16</v>
      </c>
      <c r="Q1162" s="16">
        <v>2958465</v>
      </c>
    </row>
    <row r="1163" spans="1:20">
      <c r="A1163" s="11">
        <f t="shared" si="18"/>
        <v>1162</v>
      </c>
      <c r="B1163" s="11">
        <v>8040320115</v>
      </c>
      <c r="C1163" s="25" t="s">
        <v>610</v>
      </c>
      <c r="D1163" s="27">
        <v>11520</v>
      </c>
      <c r="E1163" s="11">
        <v>0.45</v>
      </c>
      <c r="F1163" s="11" t="s">
        <v>11</v>
      </c>
      <c r="G1163" s="44">
        <v>5184</v>
      </c>
      <c r="H1163" s="28">
        <v>4670.27027027027</v>
      </c>
      <c r="I1163" s="19" t="s">
        <v>544</v>
      </c>
      <c r="J1163" s="19" t="s">
        <v>545</v>
      </c>
      <c r="K1163" s="32" t="s">
        <v>546</v>
      </c>
      <c r="L1163" s="22"/>
      <c r="M1163" s="22"/>
      <c r="N1163" s="22"/>
      <c r="O1163" s="20" t="s">
        <v>15</v>
      </c>
      <c r="P1163" s="25" t="s">
        <v>16</v>
      </c>
      <c r="Q1163" s="16">
        <v>2958465</v>
      </c>
    </row>
    <row r="1164" spans="1:20">
      <c r="A1164" s="11">
        <f t="shared" si="18"/>
        <v>1163</v>
      </c>
      <c r="B1164" s="11">
        <v>8040320116</v>
      </c>
      <c r="C1164" s="25" t="s">
        <v>625</v>
      </c>
      <c r="D1164" s="27">
        <v>12170</v>
      </c>
      <c r="E1164" s="11">
        <v>0.45</v>
      </c>
      <c r="F1164" s="11" t="s">
        <v>11</v>
      </c>
      <c r="G1164" s="44">
        <v>5477</v>
      </c>
      <c r="H1164" s="28">
        <v>4934.2342342342336</v>
      </c>
      <c r="I1164" s="19" t="s">
        <v>544</v>
      </c>
      <c r="J1164" s="19" t="s">
        <v>545</v>
      </c>
      <c r="K1164" s="32" t="s">
        <v>546</v>
      </c>
      <c r="L1164" s="22"/>
      <c r="M1164" s="22"/>
      <c r="N1164" s="22"/>
      <c r="O1164" s="20" t="s">
        <v>15</v>
      </c>
      <c r="P1164" s="25" t="s">
        <v>16</v>
      </c>
      <c r="Q1164" s="16">
        <v>2958465</v>
      </c>
    </row>
    <row r="1165" spans="1:20">
      <c r="A1165" s="11">
        <f t="shared" si="18"/>
        <v>1164</v>
      </c>
      <c r="B1165" s="11">
        <v>8040320117</v>
      </c>
      <c r="C1165" s="25" t="s">
        <v>637</v>
      </c>
      <c r="D1165" s="27">
        <v>13100</v>
      </c>
      <c r="E1165" s="11">
        <v>0.45</v>
      </c>
      <c r="F1165" s="11" t="s">
        <v>11</v>
      </c>
      <c r="G1165" s="44">
        <v>5895</v>
      </c>
      <c r="H1165" s="28">
        <v>5310.8108108108099</v>
      </c>
      <c r="I1165" s="19" t="s">
        <v>544</v>
      </c>
      <c r="J1165" s="19" t="s">
        <v>545</v>
      </c>
      <c r="K1165" s="32" t="s">
        <v>546</v>
      </c>
      <c r="L1165" s="22"/>
      <c r="M1165" s="22"/>
      <c r="N1165" s="22"/>
      <c r="O1165" s="20" t="s">
        <v>15</v>
      </c>
      <c r="P1165" s="25" t="s">
        <v>16</v>
      </c>
      <c r="Q1165" s="16">
        <v>2958465</v>
      </c>
    </row>
    <row r="1166" spans="1:20">
      <c r="A1166" s="11">
        <f t="shared" si="18"/>
        <v>1165</v>
      </c>
      <c r="B1166" s="11">
        <v>8040320118</v>
      </c>
      <c r="C1166" s="25" t="s">
        <v>649</v>
      </c>
      <c r="D1166" s="27">
        <v>26020</v>
      </c>
      <c r="E1166" s="11">
        <v>0.45</v>
      </c>
      <c r="F1166" s="11" t="s">
        <v>11</v>
      </c>
      <c r="G1166" s="44">
        <v>11709</v>
      </c>
      <c r="H1166" s="28">
        <v>10548.648648648648</v>
      </c>
      <c r="I1166" s="19" t="s">
        <v>544</v>
      </c>
      <c r="J1166" s="19" t="s">
        <v>545</v>
      </c>
      <c r="K1166" s="32" t="s">
        <v>546</v>
      </c>
      <c r="L1166" s="22"/>
      <c r="M1166" s="22"/>
      <c r="N1166" s="22"/>
      <c r="O1166" s="20" t="s">
        <v>15</v>
      </c>
      <c r="P1166" s="25" t="s">
        <v>16</v>
      </c>
      <c r="Q1166" s="16">
        <v>2958465</v>
      </c>
    </row>
    <row r="1167" spans="1:20">
      <c r="A1167" s="11">
        <f t="shared" si="18"/>
        <v>1166</v>
      </c>
      <c r="B1167" s="11">
        <v>8040320119</v>
      </c>
      <c r="C1167" s="25" t="s">
        <v>619</v>
      </c>
      <c r="D1167" s="27">
        <v>15830</v>
      </c>
      <c r="E1167" s="11">
        <v>0.45</v>
      </c>
      <c r="F1167" s="11" t="s">
        <v>11</v>
      </c>
      <c r="G1167" s="44">
        <v>7124</v>
      </c>
      <c r="H1167" s="28">
        <v>6418.0180180180178</v>
      </c>
      <c r="I1167" s="19" t="s">
        <v>544</v>
      </c>
      <c r="J1167" s="19" t="s">
        <v>545</v>
      </c>
      <c r="K1167" s="32" t="s">
        <v>546</v>
      </c>
      <c r="L1167" s="22"/>
      <c r="M1167" s="22"/>
      <c r="N1167" s="22"/>
      <c r="O1167" s="20" t="s">
        <v>15</v>
      </c>
      <c r="P1167" s="25" t="s">
        <v>16</v>
      </c>
      <c r="Q1167" s="16">
        <v>2958465</v>
      </c>
    </row>
    <row r="1168" spans="1:20">
      <c r="A1168" s="11">
        <f t="shared" si="18"/>
        <v>1167</v>
      </c>
      <c r="B1168" s="11">
        <v>8040320120</v>
      </c>
      <c r="C1168" s="25" t="s">
        <v>631</v>
      </c>
      <c r="D1168" s="27">
        <v>21070</v>
      </c>
      <c r="E1168" s="11">
        <v>0.45</v>
      </c>
      <c r="F1168" s="11" t="s">
        <v>11</v>
      </c>
      <c r="G1168" s="44">
        <v>9482</v>
      </c>
      <c r="H1168" s="28">
        <v>8542.342342342341</v>
      </c>
      <c r="I1168" s="19" t="s">
        <v>544</v>
      </c>
      <c r="J1168" s="19" t="s">
        <v>545</v>
      </c>
      <c r="K1168" s="32" t="s">
        <v>546</v>
      </c>
      <c r="L1168" s="22"/>
      <c r="M1168" s="22"/>
      <c r="N1168" s="22"/>
      <c r="O1168" s="20" t="s">
        <v>15</v>
      </c>
      <c r="P1168" s="25" t="s">
        <v>16</v>
      </c>
      <c r="Q1168" s="16">
        <v>2958465</v>
      </c>
    </row>
    <row r="1169" spans="1:17">
      <c r="A1169" s="11">
        <f t="shared" si="18"/>
        <v>1168</v>
      </c>
      <c r="B1169" s="11">
        <v>8040320121</v>
      </c>
      <c r="C1169" s="25" t="s">
        <v>643</v>
      </c>
      <c r="D1169" s="27">
        <v>33140</v>
      </c>
      <c r="E1169" s="11">
        <v>0.45</v>
      </c>
      <c r="F1169" s="11" t="s">
        <v>11</v>
      </c>
      <c r="G1169" s="44">
        <v>14913</v>
      </c>
      <c r="H1169" s="28">
        <v>13435.135135135133</v>
      </c>
      <c r="I1169" s="19" t="s">
        <v>544</v>
      </c>
      <c r="J1169" s="19" t="s">
        <v>545</v>
      </c>
      <c r="K1169" s="32" t="s">
        <v>546</v>
      </c>
      <c r="L1169" s="22"/>
      <c r="M1169" s="22"/>
      <c r="N1169" s="22"/>
      <c r="O1169" s="20" t="s">
        <v>15</v>
      </c>
      <c r="P1169" s="25" t="s">
        <v>16</v>
      </c>
      <c r="Q1169" s="16">
        <v>2958465</v>
      </c>
    </row>
    <row r="1170" spans="1:17">
      <c r="A1170" s="11">
        <f t="shared" si="18"/>
        <v>1169</v>
      </c>
      <c r="B1170" s="11">
        <v>8040320122</v>
      </c>
      <c r="C1170" s="25" t="s">
        <v>591</v>
      </c>
      <c r="D1170" s="27">
        <v>18570</v>
      </c>
      <c r="E1170" s="11">
        <v>0.45</v>
      </c>
      <c r="F1170" s="11" t="s">
        <v>11</v>
      </c>
      <c r="G1170" s="44">
        <v>8357</v>
      </c>
      <c r="H1170" s="28">
        <v>7528.8288288288286</v>
      </c>
      <c r="I1170" s="19" t="s">
        <v>544</v>
      </c>
      <c r="J1170" s="19" t="s">
        <v>545</v>
      </c>
      <c r="K1170" s="32" t="s">
        <v>546</v>
      </c>
      <c r="L1170" s="22"/>
      <c r="M1170" s="22"/>
      <c r="N1170" s="22"/>
      <c r="O1170" s="20" t="s">
        <v>15</v>
      </c>
      <c r="P1170" s="25" t="s">
        <v>16</v>
      </c>
      <c r="Q1170" s="16">
        <v>2958465</v>
      </c>
    </row>
    <row r="1171" spans="1:17">
      <c r="A1171" s="11">
        <f t="shared" si="18"/>
        <v>1170</v>
      </c>
      <c r="B1171" s="11">
        <v>8040320123</v>
      </c>
      <c r="C1171" s="25" t="s">
        <v>575</v>
      </c>
      <c r="D1171" s="27">
        <v>30070</v>
      </c>
      <c r="E1171" s="11">
        <v>0.45</v>
      </c>
      <c r="F1171" s="11" t="s">
        <v>11</v>
      </c>
      <c r="G1171" s="44">
        <v>13532</v>
      </c>
      <c r="H1171" s="28">
        <v>12190.990990990989</v>
      </c>
      <c r="I1171" s="19" t="s">
        <v>544</v>
      </c>
      <c r="J1171" s="19" t="s">
        <v>545</v>
      </c>
      <c r="K1171" s="32" t="s">
        <v>546</v>
      </c>
      <c r="L1171" s="22"/>
      <c r="M1171" s="22"/>
      <c r="N1171" s="22"/>
      <c r="O1171" s="20" t="s">
        <v>15</v>
      </c>
      <c r="P1171" s="25" t="s">
        <v>16</v>
      </c>
      <c r="Q1171" s="16">
        <v>2958465</v>
      </c>
    </row>
    <row r="1172" spans="1:17">
      <c r="A1172" s="11">
        <f t="shared" si="18"/>
        <v>1171</v>
      </c>
      <c r="B1172" s="11">
        <v>8040320124</v>
      </c>
      <c r="C1172" s="25" t="s">
        <v>549</v>
      </c>
      <c r="D1172" s="27">
        <v>37260</v>
      </c>
      <c r="E1172" s="11">
        <v>0.45</v>
      </c>
      <c r="F1172" s="11" t="s">
        <v>11</v>
      </c>
      <c r="G1172" s="44">
        <v>16767</v>
      </c>
      <c r="H1172" s="28">
        <v>15105.405405405405</v>
      </c>
      <c r="I1172" s="19" t="s">
        <v>544</v>
      </c>
      <c r="J1172" s="19" t="s">
        <v>545</v>
      </c>
      <c r="K1172" s="32" t="s">
        <v>546</v>
      </c>
      <c r="L1172" s="22"/>
      <c r="M1172" s="22"/>
      <c r="N1172" s="22"/>
      <c r="O1172" s="20" t="s">
        <v>15</v>
      </c>
      <c r="P1172" s="25" t="s">
        <v>16</v>
      </c>
      <c r="Q1172" s="16">
        <v>2958465</v>
      </c>
    </row>
    <row r="1173" spans="1:17">
      <c r="A1173" s="11">
        <f t="shared" si="18"/>
        <v>1172</v>
      </c>
      <c r="B1173" s="11">
        <v>8040320125</v>
      </c>
      <c r="C1173" s="25" t="s">
        <v>550</v>
      </c>
      <c r="D1173" s="27">
        <v>61380</v>
      </c>
      <c r="E1173" s="11">
        <v>0.45</v>
      </c>
      <c r="F1173" s="11" t="s">
        <v>11</v>
      </c>
      <c r="G1173" s="44">
        <v>27621</v>
      </c>
      <c r="H1173" s="28">
        <v>24883.783783783783</v>
      </c>
      <c r="I1173" s="19" t="s">
        <v>544</v>
      </c>
      <c r="J1173" s="19" t="s">
        <v>545</v>
      </c>
      <c r="K1173" s="32" t="s">
        <v>546</v>
      </c>
      <c r="L1173" s="22"/>
      <c r="M1173" s="22"/>
      <c r="N1173" s="22"/>
      <c r="O1173" s="20" t="s">
        <v>15</v>
      </c>
      <c r="P1173" s="25" t="s">
        <v>16</v>
      </c>
      <c r="Q1173" s="16">
        <v>2958465</v>
      </c>
    </row>
    <row r="1174" spans="1:17">
      <c r="A1174" s="11">
        <f t="shared" si="18"/>
        <v>1173</v>
      </c>
      <c r="B1174" s="11">
        <v>8040320126</v>
      </c>
      <c r="C1174" s="25" t="s">
        <v>551</v>
      </c>
      <c r="D1174" s="27">
        <v>101670</v>
      </c>
      <c r="E1174" s="11">
        <v>0.45</v>
      </c>
      <c r="F1174" s="11" t="s">
        <v>11</v>
      </c>
      <c r="G1174" s="44">
        <v>45752</v>
      </c>
      <c r="H1174" s="28">
        <v>41218.018018018018</v>
      </c>
      <c r="I1174" s="19" t="s">
        <v>544</v>
      </c>
      <c r="J1174" s="19" t="s">
        <v>545</v>
      </c>
      <c r="K1174" s="32" t="s">
        <v>546</v>
      </c>
      <c r="L1174" s="22"/>
      <c r="M1174" s="22"/>
      <c r="N1174" s="22"/>
      <c r="O1174" s="20" t="s">
        <v>15</v>
      </c>
      <c r="P1174" s="25" t="s">
        <v>16</v>
      </c>
      <c r="Q1174" s="16">
        <v>2958465</v>
      </c>
    </row>
    <row r="1175" spans="1:17">
      <c r="A1175" s="11">
        <f t="shared" si="18"/>
        <v>1174</v>
      </c>
      <c r="B1175" s="11">
        <v>8040320127</v>
      </c>
      <c r="C1175" s="25" t="s">
        <v>558</v>
      </c>
      <c r="D1175" s="27">
        <v>39380</v>
      </c>
      <c r="E1175" s="11">
        <v>0.45</v>
      </c>
      <c r="F1175" s="11" t="s">
        <v>11</v>
      </c>
      <c r="G1175" s="44">
        <v>17721</v>
      </c>
      <c r="H1175" s="28">
        <v>15964.864864864863</v>
      </c>
      <c r="I1175" s="19" t="s">
        <v>544</v>
      </c>
      <c r="J1175" s="19" t="s">
        <v>545</v>
      </c>
      <c r="K1175" s="32" t="s">
        <v>546</v>
      </c>
      <c r="L1175" s="22"/>
      <c r="M1175" s="22"/>
      <c r="N1175" s="22"/>
      <c r="O1175" s="20" t="s">
        <v>15</v>
      </c>
      <c r="P1175" s="25" t="s">
        <v>16</v>
      </c>
      <c r="Q1175" s="16">
        <v>2958465</v>
      </c>
    </row>
    <row r="1176" spans="1:17">
      <c r="A1176" s="11">
        <f t="shared" si="18"/>
        <v>1175</v>
      </c>
      <c r="B1176" s="11">
        <v>8040320128</v>
      </c>
      <c r="C1176" s="25" t="s">
        <v>559</v>
      </c>
      <c r="D1176" s="27">
        <v>65950</v>
      </c>
      <c r="E1176" s="11">
        <v>0.45</v>
      </c>
      <c r="F1176" s="11" t="s">
        <v>11</v>
      </c>
      <c r="G1176" s="44">
        <v>29678</v>
      </c>
      <c r="H1176" s="28">
        <v>26736.936936936934</v>
      </c>
      <c r="I1176" s="19" t="s">
        <v>544</v>
      </c>
      <c r="J1176" s="19" t="s">
        <v>545</v>
      </c>
      <c r="K1176" s="32" t="s">
        <v>546</v>
      </c>
      <c r="L1176" s="22"/>
      <c r="M1176" s="22"/>
      <c r="N1176" s="22"/>
      <c r="O1176" s="20" t="s">
        <v>15</v>
      </c>
      <c r="P1176" s="25" t="s">
        <v>16</v>
      </c>
      <c r="Q1176" s="16">
        <v>2958465</v>
      </c>
    </row>
    <row r="1177" spans="1:17">
      <c r="A1177" s="11">
        <f t="shared" si="18"/>
        <v>1176</v>
      </c>
      <c r="B1177" s="11">
        <v>8040320129</v>
      </c>
      <c r="C1177" s="25" t="s">
        <v>560</v>
      </c>
      <c r="D1177" s="27">
        <v>114520</v>
      </c>
      <c r="E1177" s="11">
        <v>0.45</v>
      </c>
      <c r="F1177" s="11" t="s">
        <v>11</v>
      </c>
      <c r="G1177" s="44">
        <v>51534</v>
      </c>
      <c r="H1177" s="28">
        <v>46427.027027027019</v>
      </c>
      <c r="I1177" s="19" t="s">
        <v>544</v>
      </c>
      <c r="J1177" s="19" t="s">
        <v>545</v>
      </c>
      <c r="K1177" s="32" t="s">
        <v>546</v>
      </c>
      <c r="L1177" s="22"/>
      <c r="M1177" s="22"/>
      <c r="N1177" s="22"/>
      <c r="O1177" s="20" t="s">
        <v>15</v>
      </c>
      <c r="P1177" s="25" t="s">
        <v>16</v>
      </c>
      <c r="Q1177" s="16">
        <v>2958465</v>
      </c>
    </row>
    <row r="1178" spans="1:17">
      <c r="A1178" s="11">
        <f t="shared" si="18"/>
        <v>1177</v>
      </c>
      <c r="B1178" s="11">
        <v>8040320130</v>
      </c>
      <c r="C1178" s="25" t="s">
        <v>613</v>
      </c>
      <c r="D1178" s="27">
        <v>58360</v>
      </c>
      <c r="E1178" s="11">
        <v>0.45</v>
      </c>
      <c r="F1178" s="11" t="s">
        <v>11</v>
      </c>
      <c r="G1178" s="44">
        <v>26262</v>
      </c>
      <c r="H1178" s="28">
        <v>23659.459459459456</v>
      </c>
      <c r="I1178" s="19" t="s">
        <v>544</v>
      </c>
      <c r="J1178" s="19" t="s">
        <v>545</v>
      </c>
      <c r="K1178" s="32" t="s">
        <v>546</v>
      </c>
      <c r="L1178" s="22"/>
      <c r="M1178" s="22"/>
      <c r="N1178" s="22"/>
      <c r="O1178" s="20" t="s">
        <v>15</v>
      </c>
      <c r="P1178" s="25" t="s">
        <v>16</v>
      </c>
      <c r="Q1178" s="16">
        <v>2958465</v>
      </c>
    </row>
    <row r="1179" spans="1:17">
      <c r="A1179" s="11">
        <f t="shared" si="18"/>
        <v>1178</v>
      </c>
      <c r="B1179" s="11">
        <v>8040320131</v>
      </c>
      <c r="C1179" s="25" t="s">
        <v>628</v>
      </c>
      <c r="D1179" s="27">
        <v>60740</v>
      </c>
      <c r="E1179" s="11">
        <v>0.45</v>
      </c>
      <c r="F1179" s="11" t="s">
        <v>11</v>
      </c>
      <c r="G1179" s="44">
        <v>27333</v>
      </c>
      <c r="H1179" s="28">
        <v>24624.324324324323</v>
      </c>
      <c r="I1179" s="19" t="s">
        <v>544</v>
      </c>
      <c r="J1179" s="19" t="s">
        <v>545</v>
      </c>
      <c r="K1179" s="32" t="s">
        <v>546</v>
      </c>
      <c r="L1179" s="22"/>
      <c r="M1179" s="22"/>
      <c r="N1179" s="22"/>
      <c r="O1179" s="20" t="s">
        <v>15</v>
      </c>
      <c r="P1179" s="25" t="s">
        <v>16</v>
      </c>
      <c r="Q1179" s="16">
        <v>2958465</v>
      </c>
    </row>
    <row r="1180" spans="1:17">
      <c r="A1180" s="11">
        <f t="shared" si="18"/>
        <v>1179</v>
      </c>
      <c r="B1180" s="11">
        <v>8040320132</v>
      </c>
      <c r="C1180" s="25" t="s">
        <v>640</v>
      </c>
      <c r="D1180" s="27">
        <v>81360</v>
      </c>
      <c r="E1180" s="11">
        <v>0.45</v>
      </c>
      <c r="F1180" s="11" t="s">
        <v>11</v>
      </c>
      <c r="G1180" s="44">
        <v>36612</v>
      </c>
      <c r="H1180" s="28">
        <v>32983.78378378378</v>
      </c>
      <c r="I1180" s="19" t="s">
        <v>544</v>
      </c>
      <c r="J1180" s="19" t="s">
        <v>545</v>
      </c>
      <c r="K1180" s="32" t="s">
        <v>546</v>
      </c>
      <c r="L1180" s="22"/>
      <c r="M1180" s="22"/>
      <c r="N1180" s="22"/>
      <c r="O1180" s="20" t="s">
        <v>15</v>
      </c>
      <c r="P1180" s="25" t="s">
        <v>16</v>
      </c>
      <c r="Q1180" s="16">
        <v>2958465</v>
      </c>
    </row>
    <row r="1181" spans="1:17">
      <c r="A1181" s="11">
        <f t="shared" si="18"/>
        <v>1180</v>
      </c>
      <c r="B1181" s="11">
        <v>8040320133</v>
      </c>
      <c r="C1181" s="25" t="s">
        <v>592</v>
      </c>
      <c r="D1181" s="27">
        <v>27550</v>
      </c>
      <c r="E1181" s="11">
        <v>0.45</v>
      </c>
      <c r="F1181" s="11" t="s">
        <v>11</v>
      </c>
      <c r="G1181" s="44">
        <v>12398</v>
      </c>
      <c r="H1181" s="28">
        <v>11169.369369369368</v>
      </c>
      <c r="I1181" s="19" t="s">
        <v>544</v>
      </c>
      <c r="J1181" s="19" t="s">
        <v>545</v>
      </c>
      <c r="K1181" s="32" t="s">
        <v>546</v>
      </c>
      <c r="L1181" s="22"/>
      <c r="M1181" s="22"/>
      <c r="N1181" s="22"/>
      <c r="O1181" s="20" t="s">
        <v>15</v>
      </c>
      <c r="P1181" s="25" t="s">
        <v>16</v>
      </c>
      <c r="Q1181" s="16">
        <v>2958465</v>
      </c>
    </row>
    <row r="1182" spans="1:17">
      <c r="A1182" s="11">
        <f t="shared" si="18"/>
        <v>1181</v>
      </c>
      <c r="B1182" s="11">
        <v>8040320134</v>
      </c>
      <c r="C1182" s="25" t="s">
        <v>593</v>
      </c>
      <c r="D1182" s="27">
        <v>30600</v>
      </c>
      <c r="E1182" s="11">
        <v>0.45</v>
      </c>
      <c r="F1182" s="11" t="s">
        <v>11</v>
      </c>
      <c r="G1182" s="44">
        <v>13770</v>
      </c>
      <c r="H1182" s="28">
        <v>12405.405405405405</v>
      </c>
      <c r="I1182" s="19" t="s">
        <v>544</v>
      </c>
      <c r="J1182" s="19" t="s">
        <v>545</v>
      </c>
      <c r="K1182" s="32" t="s">
        <v>546</v>
      </c>
      <c r="L1182" s="22"/>
      <c r="M1182" s="22"/>
      <c r="N1182" s="22"/>
      <c r="O1182" s="20" t="s">
        <v>15</v>
      </c>
      <c r="P1182" s="25" t="s">
        <v>16</v>
      </c>
      <c r="Q1182" s="16">
        <v>2958465</v>
      </c>
    </row>
    <row r="1183" spans="1:17">
      <c r="A1183" s="11">
        <f t="shared" si="18"/>
        <v>1182</v>
      </c>
      <c r="B1183" s="11">
        <v>8040320135</v>
      </c>
      <c r="C1183" s="25" t="s">
        <v>594</v>
      </c>
      <c r="D1183" s="27">
        <v>40410</v>
      </c>
      <c r="E1183" s="11">
        <v>0.45</v>
      </c>
      <c r="F1183" s="11" t="s">
        <v>11</v>
      </c>
      <c r="G1183" s="44">
        <v>18185</v>
      </c>
      <c r="H1183" s="28">
        <v>16382.882882882881</v>
      </c>
      <c r="I1183" s="19" t="s">
        <v>544</v>
      </c>
      <c r="J1183" s="19" t="s">
        <v>545</v>
      </c>
      <c r="K1183" s="32" t="s">
        <v>546</v>
      </c>
      <c r="L1183" s="22"/>
      <c r="M1183" s="22"/>
      <c r="N1183" s="22"/>
      <c r="O1183" s="20" t="s">
        <v>15</v>
      </c>
      <c r="P1183" s="25" t="s">
        <v>16</v>
      </c>
      <c r="Q1183" s="16">
        <v>2958465</v>
      </c>
    </row>
    <row r="1184" spans="1:17">
      <c r="A1184" s="11">
        <f t="shared" si="18"/>
        <v>1183</v>
      </c>
      <c r="B1184" s="11">
        <v>8040320136</v>
      </c>
      <c r="C1184" s="25" t="s">
        <v>595</v>
      </c>
      <c r="D1184" s="27">
        <v>43210</v>
      </c>
      <c r="E1184" s="11">
        <v>0.45</v>
      </c>
      <c r="F1184" s="11" t="s">
        <v>11</v>
      </c>
      <c r="G1184" s="44">
        <v>19445</v>
      </c>
      <c r="H1184" s="28">
        <v>17518.018018018018</v>
      </c>
      <c r="I1184" s="19" t="s">
        <v>544</v>
      </c>
      <c r="J1184" s="19" t="s">
        <v>545</v>
      </c>
      <c r="K1184" s="32" t="s">
        <v>546</v>
      </c>
      <c r="L1184" s="22"/>
      <c r="M1184" s="22"/>
      <c r="N1184" s="22"/>
      <c r="O1184" s="20" t="s">
        <v>15</v>
      </c>
      <c r="P1184" s="25" t="s">
        <v>16</v>
      </c>
      <c r="Q1184" s="16">
        <v>2958465</v>
      </c>
    </row>
    <row r="1185" spans="1:17">
      <c r="A1185" s="11">
        <f t="shared" si="18"/>
        <v>1184</v>
      </c>
      <c r="B1185" s="11">
        <v>8040320137</v>
      </c>
      <c r="C1185" s="25" t="s">
        <v>596</v>
      </c>
      <c r="D1185" s="27">
        <v>52520</v>
      </c>
      <c r="E1185" s="11">
        <v>0.45</v>
      </c>
      <c r="F1185" s="11" t="s">
        <v>11</v>
      </c>
      <c r="G1185" s="44">
        <v>23634</v>
      </c>
      <c r="H1185" s="28">
        <v>21291.89189189189</v>
      </c>
      <c r="I1185" s="19" t="s">
        <v>544</v>
      </c>
      <c r="J1185" s="19" t="s">
        <v>545</v>
      </c>
      <c r="K1185" s="32" t="s">
        <v>546</v>
      </c>
      <c r="L1185" s="22"/>
      <c r="M1185" s="22"/>
      <c r="N1185" s="22"/>
      <c r="O1185" s="20" t="s">
        <v>15</v>
      </c>
      <c r="P1185" s="25" t="s">
        <v>16</v>
      </c>
      <c r="Q1185" s="16">
        <v>2958465</v>
      </c>
    </row>
    <row r="1186" spans="1:17">
      <c r="A1186" s="11">
        <f t="shared" si="18"/>
        <v>1185</v>
      </c>
      <c r="B1186" s="11">
        <v>8040320138</v>
      </c>
      <c r="C1186" s="25" t="s">
        <v>597</v>
      </c>
      <c r="D1186" s="27">
        <v>65790</v>
      </c>
      <c r="E1186" s="11">
        <v>0.45</v>
      </c>
      <c r="F1186" s="11" t="s">
        <v>11</v>
      </c>
      <c r="G1186" s="44">
        <v>29606</v>
      </c>
      <c r="H1186" s="28">
        <v>26672.072072072071</v>
      </c>
      <c r="I1186" s="19" t="s">
        <v>544</v>
      </c>
      <c r="J1186" s="19" t="s">
        <v>545</v>
      </c>
      <c r="K1186" s="32" t="s">
        <v>546</v>
      </c>
      <c r="L1186" s="22"/>
      <c r="M1186" s="22"/>
      <c r="N1186" s="22"/>
      <c r="O1186" s="20" t="s">
        <v>15</v>
      </c>
      <c r="P1186" s="25" t="s">
        <v>16</v>
      </c>
      <c r="Q1186" s="16">
        <v>2958465</v>
      </c>
    </row>
    <row r="1187" spans="1:17">
      <c r="A1187" s="11">
        <f t="shared" si="18"/>
        <v>1186</v>
      </c>
      <c r="B1187" s="11">
        <v>8040320139</v>
      </c>
      <c r="C1187" s="25" t="s">
        <v>598</v>
      </c>
      <c r="D1187" s="27">
        <v>73740</v>
      </c>
      <c r="E1187" s="11">
        <v>0.45</v>
      </c>
      <c r="F1187" s="11" t="s">
        <v>11</v>
      </c>
      <c r="G1187" s="44">
        <v>33183</v>
      </c>
      <c r="H1187" s="28">
        <v>29894.594594594593</v>
      </c>
      <c r="I1187" s="19" t="s">
        <v>544</v>
      </c>
      <c r="J1187" s="19" t="s">
        <v>545</v>
      </c>
      <c r="K1187" s="32" t="s">
        <v>546</v>
      </c>
      <c r="L1187" s="22"/>
      <c r="M1187" s="22"/>
      <c r="N1187" s="22"/>
      <c r="O1187" s="20" t="s">
        <v>15</v>
      </c>
      <c r="P1187" s="25" t="s">
        <v>16</v>
      </c>
      <c r="Q1187" s="16">
        <v>2958465</v>
      </c>
    </row>
    <row r="1188" spans="1:17">
      <c r="A1188" s="11">
        <f t="shared" si="18"/>
        <v>1187</v>
      </c>
      <c r="B1188" s="11">
        <v>8040320140</v>
      </c>
      <c r="C1188" s="25" t="s">
        <v>599</v>
      </c>
      <c r="D1188" s="27">
        <v>85880</v>
      </c>
      <c r="E1188" s="11">
        <v>0.45</v>
      </c>
      <c r="F1188" s="11" t="s">
        <v>11</v>
      </c>
      <c r="G1188" s="44">
        <v>38646</v>
      </c>
      <c r="H1188" s="28">
        <v>34816.216216216213</v>
      </c>
      <c r="I1188" s="19" t="s">
        <v>544</v>
      </c>
      <c r="J1188" s="19" t="s">
        <v>545</v>
      </c>
      <c r="K1188" s="32" t="s">
        <v>546</v>
      </c>
      <c r="L1188" s="22"/>
      <c r="M1188" s="22"/>
      <c r="N1188" s="22"/>
      <c r="O1188" s="20" t="s">
        <v>15</v>
      </c>
      <c r="P1188" s="25" t="s">
        <v>16</v>
      </c>
      <c r="Q1188" s="16">
        <v>2958465</v>
      </c>
    </row>
    <row r="1189" spans="1:17">
      <c r="A1189" s="11">
        <f t="shared" si="18"/>
        <v>1188</v>
      </c>
      <c r="B1189" s="11">
        <v>8040320141</v>
      </c>
      <c r="C1189" s="25" t="s">
        <v>576</v>
      </c>
      <c r="D1189" s="27">
        <v>49020</v>
      </c>
      <c r="E1189" s="11">
        <v>0.45</v>
      </c>
      <c r="F1189" s="11" t="s">
        <v>11</v>
      </c>
      <c r="G1189" s="44">
        <v>22059</v>
      </c>
      <c r="H1189" s="28">
        <v>19872.97297297297</v>
      </c>
      <c r="I1189" s="19" t="s">
        <v>544</v>
      </c>
      <c r="J1189" s="19" t="s">
        <v>545</v>
      </c>
      <c r="K1189" s="32" t="s">
        <v>546</v>
      </c>
      <c r="L1189" s="22"/>
      <c r="M1189" s="22"/>
      <c r="N1189" s="22"/>
      <c r="O1189" s="20" t="s">
        <v>15</v>
      </c>
      <c r="P1189" s="25" t="s">
        <v>16</v>
      </c>
      <c r="Q1189" s="16">
        <v>2958465</v>
      </c>
    </row>
    <row r="1190" spans="1:17">
      <c r="A1190" s="11">
        <f t="shared" si="18"/>
        <v>1189</v>
      </c>
      <c r="B1190" s="11">
        <v>8040320142</v>
      </c>
      <c r="C1190" s="25" t="s">
        <v>578</v>
      </c>
      <c r="D1190" s="27">
        <v>83810</v>
      </c>
      <c r="E1190" s="11">
        <v>0.45</v>
      </c>
      <c r="F1190" s="11" t="s">
        <v>11</v>
      </c>
      <c r="G1190" s="44">
        <v>37715</v>
      </c>
      <c r="H1190" s="28">
        <v>33977.477477477478</v>
      </c>
      <c r="I1190" s="19" t="s">
        <v>544</v>
      </c>
      <c r="J1190" s="19" t="s">
        <v>545</v>
      </c>
      <c r="K1190" s="32" t="s">
        <v>546</v>
      </c>
      <c r="L1190" s="22"/>
      <c r="M1190" s="22"/>
      <c r="N1190" s="22"/>
      <c r="O1190" s="20" t="s">
        <v>15</v>
      </c>
      <c r="P1190" s="25" t="s">
        <v>16</v>
      </c>
      <c r="Q1190" s="16">
        <v>2958465</v>
      </c>
    </row>
    <row r="1191" spans="1:17">
      <c r="A1191" s="11">
        <f t="shared" si="18"/>
        <v>1190</v>
      </c>
      <c r="B1191" s="11">
        <v>8040320143</v>
      </c>
      <c r="C1191" s="25" t="s">
        <v>579</v>
      </c>
      <c r="D1191" s="27">
        <v>88050</v>
      </c>
      <c r="E1191" s="11">
        <v>0.45</v>
      </c>
      <c r="F1191" s="11" t="s">
        <v>11</v>
      </c>
      <c r="G1191" s="44">
        <v>39623</v>
      </c>
      <c r="H1191" s="28">
        <v>35696.396396396391</v>
      </c>
      <c r="I1191" s="19" t="s">
        <v>544</v>
      </c>
      <c r="J1191" s="19" t="s">
        <v>545</v>
      </c>
      <c r="K1191" s="32" t="s">
        <v>546</v>
      </c>
      <c r="L1191" s="22"/>
      <c r="M1191" s="22"/>
      <c r="N1191" s="22"/>
      <c r="O1191" s="20" t="s">
        <v>15</v>
      </c>
      <c r="P1191" s="25" t="s">
        <v>16</v>
      </c>
      <c r="Q1191" s="16">
        <v>2958465</v>
      </c>
    </row>
    <row r="1192" spans="1:17">
      <c r="A1192" s="11">
        <f t="shared" si="18"/>
        <v>1191</v>
      </c>
      <c r="B1192" s="11">
        <v>8040320144</v>
      </c>
      <c r="C1192" s="25" t="s">
        <v>581</v>
      </c>
      <c r="D1192" s="27">
        <v>138880</v>
      </c>
      <c r="E1192" s="11">
        <v>0.45</v>
      </c>
      <c r="F1192" s="11" t="s">
        <v>11</v>
      </c>
      <c r="G1192" s="44">
        <v>62496</v>
      </c>
      <c r="H1192" s="28">
        <v>56302.7027027027</v>
      </c>
      <c r="I1192" s="19" t="s">
        <v>544</v>
      </c>
      <c r="J1192" s="19" t="s">
        <v>545</v>
      </c>
      <c r="K1192" s="32" t="s">
        <v>546</v>
      </c>
      <c r="L1192" s="22"/>
      <c r="M1192" s="22"/>
      <c r="N1192" s="22"/>
      <c r="O1192" s="20" t="s">
        <v>15</v>
      </c>
      <c r="P1192" s="25" t="s">
        <v>16</v>
      </c>
      <c r="Q1192" s="16">
        <v>2958465</v>
      </c>
    </row>
    <row r="1193" spans="1:17">
      <c r="A1193" s="11">
        <f t="shared" si="18"/>
        <v>1192</v>
      </c>
      <c r="B1193" s="11">
        <v>8040320145</v>
      </c>
      <c r="C1193" s="25" t="s">
        <v>582</v>
      </c>
      <c r="D1193" s="27">
        <v>147570</v>
      </c>
      <c r="E1193" s="11">
        <v>0.45</v>
      </c>
      <c r="F1193" s="11" t="s">
        <v>11</v>
      </c>
      <c r="G1193" s="44">
        <v>66407</v>
      </c>
      <c r="H1193" s="28">
        <v>59826.126126126124</v>
      </c>
      <c r="I1193" s="19" t="s">
        <v>544</v>
      </c>
      <c r="J1193" s="19" t="s">
        <v>545</v>
      </c>
      <c r="K1193" s="32" t="s">
        <v>546</v>
      </c>
      <c r="L1193" s="22"/>
      <c r="M1193" s="22"/>
      <c r="N1193" s="22"/>
      <c r="O1193" s="20" t="s">
        <v>15</v>
      </c>
      <c r="P1193" s="25" t="s">
        <v>16</v>
      </c>
      <c r="Q1193" s="16">
        <v>2958465</v>
      </c>
    </row>
    <row r="1194" spans="1:17">
      <c r="A1194" s="11">
        <f t="shared" si="18"/>
        <v>1193</v>
      </c>
      <c r="B1194" s="11">
        <v>8040320146</v>
      </c>
      <c r="C1194" s="25" t="s">
        <v>583</v>
      </c>
      <c r="D1194" s="27">
        <v>154360</v>
      </c>
      <c r="E1194" s="11">
        <v>0.45</v>
      </c>
      <c r="F1194" s="11" t="s">
        <v>11</v>
      </c>
      <c r="G1194" s="44">
        <v>69462</v>
      </c>
      <c r="H1194" s="28">
        <v>62578.378378378373</v>
      </c>
      <c r="I1194" s="19" t="s">
        <v>544</v>
      </c>
      <c r="J1194" s="19" t="s">
        <v>545</v>
      </c>
      <c r="K1194" s="32" t="s">
        <v>546</v>
      </c>
      <c r="L1194" s="22"/>
      <c r="M1194" s="22"/>
      <c r="N1194" s="22"/>
      <c r="O1194" s="20" t="s">
        <v>15</v>
      </c>
      <c r="P1194" s="25" t="s">
        <v>16</v>
      </c>
      <c r="Q1194" s="16">
        <v>2958465</v>
      </c>
    </row>
    <row r="1195" spans="1:17">
      <c r="A1195" s="11">
        <f t="shared" si="18"/>
        <v>1194</v>
      </c>
      <c r="B1195" s="11">
        <v>8040320147</v>
      </c>
      <c r="C1195" s="25" t="s">
        <v>567</v>
      </c>
      <c r="D1195" s="27">
        <v>57570</v>
      </c>
      <c r="E1195" s="11">
        <v>0.45</v>
      </c>
      <c r="F1195" s="11" t="s">
        <v>11</v>
      </c>
      <c r="G1195" s="44">
        <v>25907</v>
      </c>
      <c r="H1195" s="28">
        <v>23339.639639639638</v>
      </c>
      <c r="I1195" s="19" t="s">
        <v>544</v>
      </c>
      <c r="J1195" s="19" t="s">
        <v>545</v>
      </c>
      <c r="K1195" s="32" t="s">
        <v>546</v>
      </c>
      <c r="L1195" s="22"/>
      <c r="M1195" s="22"/>
      <c r="N1195" s="22"/>
      <c r="O1195" s="20" t="s">
        <v>15</v>
      </c>
      <c r="P1195" s="25" t="s">
        <v>16</v>
      </c>
      <c r="Q1195" s="16">
        <v>2958465</v>
      </c>
    </row>
    <row r="1196" spans="1:17">
      <c r="A1196" s="11">
        <f t="shared" si="18"/>
        <v>1195</v>
      </c>
      <c r="B1196" s="11">
        <v>8040320148</v>
      </c>
      <c r="C1196" s="25" t="s">
        <v>543</v>
      </c>
      <c r="D1196" s="27">
        <v>9500</v>
      </c>
      <c r="E1196" s="11">
        <v>0.45</v>
      </c>
      <c r="F1196" s="11" t="s">
        <v>11</v>
      </c>
      <c r="G1196" s="44">
        <v>4275</v>
      </c>
      <c r="H1196" s="28">
        <v>3851.3513513513508</v>
      </c>
      <c r="I1196" s="19" t="s">
        <v>544</v>
      </c>
      <c r="J1196" s="19" t="s">
        <v>545</v>
      </c>
      <c r="K1196" s="32" t="s">
        <v>546</v>
      </c>
      <c r="L1196" s="22"/>
      <c r="M1196" s="22"/>
      <c r="N1196" s="22"/>
      <c r="O1196" s="20" t="s">
        <v>15</v>
      </c>
      <c r="P1196" s="25" t="s">
        <v>16</v>
      </c>
      <c r="Q1196" s="16">
        <v>2958465</v>
      </c>
    </row>
    <row r="1197" spans="1:17">
      <c r="A1197" s="11">
        <f t="shared" si="18"/>
        <v>1196</v>
      </c>
      <c r="B1197" s="11">
        <v>8040320149</v>
      </c>
      <c r="C1197" s="25" t="s">
        <v>564</v>
      </c>
      <c r="D1197" s="27">
        <v>14020</v>
      </c>
      <c r="E1197" s="11">
        <v>0.45</v>
      </c>
      <c r="F1197" s="11" t="s">
        <v>11</v>
      </c>
      <c r="G1197" s="44">
        <v>6309</v>
      </c>
      <c r="H1197" s="28">
        <v>5683.7837837837833</v>
      </c>
      <c r="I1197" s="19" t="s">
        <v>544</v>
      </c>
      <c r="J1197" s="19" t="s">
        <v>545</v>
      </c>
      <c r="K1197" s="32" t="s">
        <v>546</v>
      </c>
      <c r="L1197" s="22"/>
      <c r="M1197" s="22"/>
      <c r="N1197" s="22"/>
      <c r="O1197" s="20" t="s">
        <v>15</v>
      </c>
      <c r="P1197" s="25" t="s">
        <v>16</v>
      </c>
      <c r="Q1197" s="16">
        <v>2958465</v>
      </c>
    </row>
    <row r="1198" spans="1:17">
      <c r="A1198" s="11">
        <f t="shared" si="18"/>
        <v>1197</v>
      </c>
      <c r="B1198" s="11">
        <v>8040320150</v>
      </c>
      <c r="C1198" s="25" t="s">
        <v>555</v>
      </c>
      <c r="D1198" s="27">
        <v>9360</v>
      </c>
      <c r="E1198" s="11">
        <v>0.45</v>
      </c>
      <c r="F1198" s="11" t="s">
        <v>11</v>
      </c>
      <c r="G1198" s="44">
        <v>4212</v>
      </c>
      <c r="H1198" s="28">
        <v>3794.5945945945941</v>
      </c>
      <c r="I1198" s="19" t="s">
        <v>544</v>
      </c>
      <c r="J1198" s="19" t="s">
        <v>545</v>
      </c>
      <c r="K1198" s="32" t="s">
        <v>546</v>
      </c>
      <c r="L1198" s="22"/>
      <c r="M1198" s="22"/>
      <c r="N1198" s="22"/>
      <c r="O1198" s="20" t="s">
        <v>15</v>
      </c>
      <c r="P1198" s="25" t="s">
        <v>16</v>
      </c>
      <c r="Q1198" s="16">
        <v>2958465</v>
      </c>
    </row>
    <row r="1199" spans="1:17">
      <c r="A1199" s="11">
        <f t="shared" si="18"/>
        <v>1198</v>
      </c>
      <c r="B1199" s="11">
        <v>8040320151</v>
      </c>
      <c r="C1199" s="25" t="s">
        <v>611</v>
      </c>
      <c r="D1199" s="27">
        <v>19570</v>
      </c>
      <c r="E1199" s="11">
        <v>0.45</v>
      </c>
      <c r="F1199" s="11" t="s">
        <v>11</v>
      </c>
      <c r="G1199" s="44">
        <v>8807</v>
      </c>
      <c r="H1199" s="28">
        <v>7934.2342342342336</v>
      </c>
      <c r="I1199" s="19" t="s">
        <v>544</v>
      </c>
      <c r="J1199" s="19" t="s">
        <v>545</v>
      </c>
      <c r="K1199" s="32" t="s">
        <v>546</v>
      </c>
      <c r="L1199" s="22"/>
      <c r="M1199" s="22"/>
      <c r="N1199" s="22"/>
      <c r="O1199" s="20" t="s">
        <v>15</v>
      </c>
      <c r="P1199" s="25" t="s">
        <v>16</v>
      </c>
      <c r="Q1199" s="16">
        <v>2958465</v>
      </c>
    </row>
    <row r="1200" spans="1:17">
      <c r="A1200" s="11">
        <f t="shared" si="18"/>
        <v>1199</v>
      </c>
      <c r="B1200" s="11">
        <v>8040320152</v>
      </c>
      <c r="C1200" s="25" t="s">
        <v>569</v>
      </c>
      <c r="D1200" s="27">
        <v>179670</v>
      </c>
      <c r="E1200" s="11">
        <v>0.45</v>
      </c>
      <c r="F1200" s="11" t="s">
        <v>11</v>
      </c>
      <c r="G1200" s="44">
        <v>80852</v>
      </c>
      <c r="H1200" s="28">
        <v>72839.63963963963</v>
      </c>
      <c r="I1200" s="19" t="s">
        <v>544</v>
      </c>
      <c r="J1200" s="19" t="s">
        <v>545</v>
      </c>
      <c r="K1200" s="32" t="s">
        <v>546</v>
      </c>
      <c r="L1200" s="22"/>
      <c r="M1200" s="22"/>
      <c r="N1200" s="22"/>
      <c r="O1200" s="20" t="s">
        <v>15</v>
      </c>
      <c r="P1200" s="25" t="s">
        <v>16</v>
      </c>
      <c r="Q1200" s="16">
        <v>2958465</v>
      </c>
    </row>
    <row r="1201" spans="1:17">
      <c r="A1201" s="11">
        <f t="shared" si="18"/>
        <v>1200</v>
      </c>
      <c r="B1201" s="11">
        <v>8040320153</v>
      </c>
      <c r="C1201" s="25" t="s">
        <v>634</v>
      </c>
      <c r="D1201" s="27">
        <v>107020</v>
      </c>
      <c r="E1201" s="11">
        <v>0.45</v>
      </c>
      <c r="F1201" s="11" t="s">
        <v>11</v>
      </c>
      <c r="G1201" s="44">
        <v>48159</v>
      </c>
      <c r="H1201" s="28">
        <v>43386.486486486479</v>
      </c>
      <c r="I1201" s="19" t="s">
        <v>544</v>
      </c>
      <c r="J1201" s="19" t="s">
        <v>545</v>
      </c>
      <c r="K1201" s="32" t="s">
        <v>546</v>
      </c>
      <c r="L1201" s="22"/>
      <c r="M1201" s="22"/>
      <c r="N1201" s="22"/>
      <c r="O1201" s="20" t="s">
        <v>15</v>
      </c>
      <c r="P1201" s="25" t="s">
        <v>16</v>
      </c>
      <c r="Q1201" s="16">
        <v>2958465</v>
      </c>
    </row>
    <row r="1202" spans="1:17">
      <c r="A1202" s="11">
        <f t="shared" si="18"/>
        <v>1201</v>
      </c>
      <c r="B1202" s="11">
        <v>8040320154</v>
      </c>
      <c r="C1202" s="25" t="s">
        <v>589</v>
      </c>
      <c r="D1202" s="27">
        <v>12910</v>
      </c>
      <c r="E1202" s="11">
        <v>0.45</v>
      </c>
      <c r="F1202" s="11" t="s">
        <v>11</v>
      </c>
      <c r="G1202" s="44">
        <v>5810</v>
      </c>
      <c r="H1202" s="28">
        <v>5234.2342342342336</v>
      </c>
      <c r="I1202" s="19" t="s">
        <v>544</v>
      </c>
      <c r="J1202" s="19" t="s">
        <v>545</v>
      </c>
      <c r="K1202" s="32" t="s">
        <v>546</v>
      </c>
      <c r="L1202" s="22"/>
      <c r="M1202" s="22"/>
      <c r="N1202" s="22"/>
      <c r="O1202" s="20" t="s">
        <v>15</v>
      </c>
      <c r="P1202" s="25" t="s">
        <v>16</v>
      </c>
      <c r="Q1202" s="16">
        <v>2958465</v>
      </c>
    </row>
    <row r="1203" spans="1:17">
      <c r="A1203" s="11">
        <f t="shared" si="18"/>
        <v>1202</v>
      </c>
      <c r="B1203" s="11">
        <v>8040320155</v>
      </c>
      <c r="C1203" s="25" t="s">
        <v>590</v>
      </c>
      <c r="D1203" s="27">
        <v>16190</v>
      </c>
      <c r="E1203" s="11">
        <v>0.45</v>
      </c>
      <c r="F1203" s="11" t="s">
        <v>11</v>
      </c>
      <c r="G1203" s="44">
        <v>7286</v>
      </c>
      <c r="H1203" s="28">
        <v>6563.9639639639636</v>
      </c>
      <c r="I1203" s="19" t="s">
        <v>544</v>
      </c>
      <c r="J1203" s="19" t="s">
        <v>545</v>
      </c>
      <c r="K1203" s="32" t="s">
        <v>546</v>
      </c>
      <c r="L1203" s="22"/>
      <c r="M1203" s="22"/>
      <c r="N1203" s="22"/>
      <c r="O1203" s="20" t="s">
        <v>15</v>
      </c>
      <c r="P1203" s="25" t="s">
        <v>16</v>
      </c>
      <c r="Q1203" s="16">
        <v>2958465</v>
      </c>
    </row>
    <row r="1204" spans="1:17">
      <c r="A1204" s="11">
        <f t="shared" si="18"/>
        <v>1203</v>
      </c>
      <c r="B1204" s="11">
        <v>8040320156</v>
      </c>
      <c r="C1204" s="25" t="s">
        <v>573</v>
      </c>
      <c r="D1204" s="27">
        <v>27020</v>
      </c>
      <c r="E1204" s="11">
        <v>0.45</v>
      </c>
      <c r="F1204" s="11" t="s">
        <v>11</v>
      </c>
      <c r="G1204" s="44">
        <v>12159</v>
      </c>
      <c r="H1204" s="28">
        <v>10954.054054054053</v>
      </c>
      <c r="I1204" s="19" t="s">
        <v>544</v>
      </c>
      <c r="J1204" s="19" t="s">
        <v>545</v>
      </c>
      <c r="K1204" s="32" t="s">
        <v>546</v>
      </c>
      <c r="L1204" s="22"/>
      <c r="M1204" s="22"/>
      <c r="N1204" s="22"/>
      <c r="O1204" s="20" t="s">
        <v>15</v>
      </c>
      <c r="P1204" s="25" t="s">
        <v>16</v>
      </c>
      <c r="Q1204" s="16">
        <v>2958465</v>
      </c>
    </row>
    <row r="1205" spans="1:17">
      <c r="A1205" s="11">
        <f t="shared" si="18"/>
        <v>1204</v>
      </c>
      <c r="B1205" s="11">
        <v>8040320157</v>
      </c>
      <c r="C1205" s="25" t="s">
        <v>574</v>
      </c>
      <c r="D1205" s="27">
        <v>28710</v>
      </c>
      <c r="E1205" s="11">
        <v>0.45</v>
      </c>
      <c r="F1205" s="11" t="s">
        <v>11</v>
      </c>
      <c r="G1205" s="44">
        <v>12920</v>
      </c>
      <c r="H1205" s="28">
        <v>11639.639639639639</v>
      </c>
      <c r="I1205" s="19" t="s">
        <v>544</v>
      </c>
      <c r="J1205" s="19" t="s">
        <v>545</v>
      </c>
      <c r="K1205" s="32" t="s">
        <v>546</v>
      </c>
      <c r="L1205" s="22"/>
      <c r="M1205" s="22"/>
      <c r="N1205" s="22"/>
      <c r="O1205" s="20" t="s">
        <v>15</v>
      </c>
      <c r="P1205" s="25" t="s">
        <v>16</v>
      </c>
      <c r="Q1205" s="16">
        <v>2958465</v>
      </c>
    </row>
    <row r="1206" spans="1:17">
      <c r="A1206" s="11">
        <f t="shared" si="18"/>
        <v>1205</v>
      </c>
      <c r="B1206" s="11">
        <v>8040320158</v>
      </c>
      <c r="C1206" s="25" t="s">
        <v>577</v>
      </c>
      <c r="D1206" s="27">
        <v>50910</v>
      </c>
      <c r="E1206" s="11">
        <v>0.45</v>
      </c>
      <c r="F1206" s="11" t="s">
        <v>11</v>
      </c>
      <c r="G1206" s="44">
        <v>22910</v>
      </c>
      <c r="H1206" s="28">
        <v>20639.639639639638</v>
      </c>
      <c r="I1206" s="19" t="s">
        <v>544</v>
      </c>
      <c r="J1206" s="19" t="s">
        <v>545</v>
      </c>
      <c r="K1206" s="32" t="s">
        <v>546</v>
      </c>
      <c r="L1206" s="22"/>
      <c r="M1206" s="22"/>
      <c r="N1206" s="22"/>
      <c r="O1206" s="20" t="s">
        <v>15</v>
      </c>
      <c r="P1206" s="25" t="s">
        <v>16</v>
      </c>
      <c r="Q1206" s="16">
        <v>2958465</v>
      </c>
    </row>
    <row r="1207" spans="1:17">
      <c r="A1207" s="11">
        <f t="shared" si="18"/>
        <v>1206</v>
      </c>
      <c r="B1207" s="11">
        <v>8040320159</v>
      </c>
      <c r="C1207" s="25" t="s">
        <v>580</v>
      </c>
      <c r="D1207" s="27">
        <v>96100</v>
      </c>
      <c r="E1207" s="11">
        <v>0.45</v>
      </c>
      <c r="F1207" s="11" t="s">
        <v>11</v>
      </c>
      <c r="G1207" s="44">
        <v>43245</v>
      </c>
      <c r="H1207" s="28">
        <v>38959.459459459453</v>
      </c>
      <c r="I1207" s="19" t="s">
        <v>544</v>
      </c>
      <c r="J1207" s="19" t="s">
        <v>545</v>
      </c>
      <c r="K1207" s="32" t="s">
        <v>546</v>
      </c>
      <c r="L1207" s="22"/>
      <c r="M1207" s="22"/>
      <c r="N1207" s="22"/>
      <c r="O1207" s="20" t="s">
        <v>15</v>
      </c>
      <c r="P1207" s="25" t="s">
        <v>16</v>
      </c>
      <c r="Q1207" s="16">
        <v>2958465</v>
      </c>
    </row>
    <row r="1208" spans="1:17">
      <c r="A1208" s="11">
        <f t="shared" si="18"/>
        <v>1207</v>
      </c>
      <c r="B1208" s="11">
        <v>8040320160</v>
      </c>
      <c r="C1208" s="25" t="s">
        <v>630</v>
      </c>
      <c r="D1208" s="27">
        <v>11260</v>
      </c>
      <c r="E1208" s="11">
        <v>0.45</v>
      </c>
      <c r="F1208" s="11" t="s">
        <v>11</v>
      </c>
      <c r="G1208" s="44">
        <v>5067</v>
      </c>
      <c r="H1208" s="28">
        <v>4564.8648648648641</v>
      </c>
      <c r="I1208" s="19" t="s">
        <v>544</v>
      </c>
      <c r="J1208" s="19" t="s">
        <v>545</v>
      </c>
      <c r="K1208" s="32" t="s">
        <v>546</v>
      </c>
      <c r="L1208" s="22"/>
      <c r="M1208" s="22"/>
      <c r="N1208" s="22"/>
      <c r="O1208" s="20" t="s">
        <v>15</v>
      </c>
      <c r="P1208" s="25" t="s">
        <v>16</v>
      </c>
      <c r="Q1208" s="16">
        <v>2958465</v>
      </c>
    </row>
    <row r="1209" spans="1:17">
      <c r="A1209" s="11">
        <f t="shared" si="18"/>
        <v>1208</v>
      </c>
      <c r="B1209" s="11">
        <v>8040320161</v>
      </c>
      <c r="C1209" s="25" t="s">
        <v>627</v>
      </c>
      <c r="D1209" s="27">
        <v>37020</v>
      </c>
      <c r="E1209" s="11">
        <v>0.45</v>
      </c>
      <c r="F1209" s="11" t="s">
        <v>11</v>
      </c>
      <c r="G1209" s="44">
        <v>16659</v>
      </c>
      <c r="H1209" s="28">
        <v>15008.108108108107</v>
      </c>
      <c r="I1209" s="19" t="s">
        <v>544</v>
      </c>
      <c r="J1209" s="19" t="s">
        <v>545</v>
      </c>
      <c r="K1209" s="32" t="s">
        <v>546</v>
      </c>
      <c r="L1209" s="22"/>
      <c r="M1209" s="22"/>
      <c r="N1209" s="22"/>
      <c r="O1209" s="20" t="s">
        <v>15</v>
      </c>
      <c r="P1209" s="25" t="s">
        <v>16</v>
      </c>
      <c r="Q1209" s="16">
        <v>2958465</v>
      </c>
    </row>
    <row r="1210" spans="1:17">
      <c r="A1210" s="11">
        <f t="shared" si="18"/>
        <v>1209</v>
      </c>
      <c r="B1210" s="11">
        <v>8040320162</v>
      </c>
      <c r="C1210" s="25" t="s">
        <v>639</v>
      </c>
      <c r="D1210" s="27">
        <v>45120</v>
      </c>
      <c r="E1210" s="11">
        <v>0.45</v>
      </c>
      <c r="F1210" s="11" t="s">
        <v>11</v>
      </c>
      <c r="G1210" s="44">
        <v>20304</v>
      </c>
      <c r="H1210" s="28">
        <v>18291.89189189189</v>
      </c>
      <c r="I1210" s="19" t="s">
        <v>544</v>
      </c>
      <c r="J1210" s="19" t="s">
        <v>545</v>
      </c>
      <c r="K1210" s="32" t="s">
        <v>546</v>
      </c>
      <c r="L1210" s="22"/>
      <c r="M1210" s="22"/>
      <c r="N1210" s="22"/>
      <c r="O1210" s="20" t="s">
        <v>15</v>
      </c>
      <c r="P1210" s="25" t="s">
        <v>16</v>
      </c>
      <c r="Q1210" s="16">
        <v>2958465</v>
      </c>
    </row>
    <row r="1211" spans="1:17">
      <c r="A1211" s="11">
        <f t="shared" si="18"/>
        <v>1210</v>
      </c>
      <c r="B1211" s="11">
        <v>8040320163</v>
      </c>
      <c r="C1211" s="25" t="s">
        <v>650</v>
      </c>
      <c r="D1211" s="27">
        <v>45480</v>
      </c>
      <c r="E1211" s="11">
        <v>0.45</v>
      </c>
      <c r="F1211" s="11" t="s">
        <v>11</v>
      </c>
      <c r="G1211" s="44">
        <v>20466</v>
      </c>
      <c r="H1211" s="28">
        <v>18437.837837837837</v>
      </c>
      <c r="I1211" s="19" t="s">
        <v>544</v>
      </c>
      <c r="J1211" s="19" t="s">
        <v>545</v>
      </c>
      <c r="K1211" s="32" t="s">
        <v>546</v>
      </c>
      <c r="L1211" s="22"/>
      <c r="M1211" s="22"/>
      <c r="N1211" s="22"/>
      <c r="O1211" s="20" t="s">
        <v>15</v>
      </c>
      <c r="P1211" s="25" t="s">
        <v>16</v>
      </c>
      <c r="Q1211" s="16">
        <v>2958465</v>
      </c>
    </row>
    <row r="1212" spans="1:17">
      <c r="A1212" s="11">
        <f t="shared" si="18"/>
        <v>1211</v>
      </c>
      <c r="B1212" s="11">
        <v>8040320164</v>
      </c>
      <c r="C1212" s="25" t="s">
        <v>651</v>
      </c>
      <c r="D1212" s="27">
        <v>83260</v>
      </c>
      <c r="E1212" s="11">
        <v>0.45</v>
      </c>
      <c r="F1212" s="11" t="s">
        <v>11</v>
      </c>
      <c r="G1212" s="44">
        <v>37467</v>
      </c>
      <c r="H1212" s="28">
        <v>33754.054054054053</v>
      </c>
      <c r="I1212" s="19" t="s">
        <v>544</v>
      </c>
      <c r="J1212" s="19" t="s">
        <v>545</v>
      </c>
      <c r="K1212" s="32" t="s">
        <v>546</v>
      </c>
      <c r="L1212" s="22"/>
      <c r="M1212" s="22"/>
      <c r="N1212" s="22"/>
      <c r="O1212" s="20" t="s">
        <v>15</v>
      </c>
      <c r="P1212" s="25" t="s">
        <v>16</v>
      </c>
      <c r="Q1212" s="16">
        <v>2958465</v>
      </c>
    </row>
    <row r="1213" spans="1:17">
      <c r="A1213" s="11">
        <f t="shared" si="18"/>
        <v>1212</v>
      </c>
      <c r="B1213" s="11">
        <v>8040320187</v>
      </c>
      <c r="C1213" s="25" t="s">
        <v>647</v>
      </c>
      <c r="D1213" s="27">
        <v>11070</v>
      </c>
      <c r="E1213" s="11">
        <v>0.45</v>
      </c>
      <c r="F1213" s="11" t="s">
        <v>11</v>
      </c>
      <c r="G1213" s="44">
        <v>4982</v>
      </c>
      <c r="H1213" s="28">
        <v>4488.2882882882877</v>
      </c>
      <c r="I1213" s="19" t="s">
        <v>544</v>
      </c>
      <c r="J1213" s="19" t="s">
        <v>545</v>
      </c>
      <c r="K1213" s="32" t="s">
        <v>546</v>
      </c>
      <c r="L1213" s="22"/>
      <c r="M1213" s="22"/>
      <c r="N1213" s="22"/>
      <c r="O1213" s="20" t="s">
        <v>15</v>
      </c>
      <c r="P1213" s="25" t="s">
        <v>16</v>
      </c>
      <c r="Q1213" s="16">
        <v>2958465</v>
      </c>
    </row>
    <row r="1214" spans="1:17">
      <c r="A1214" s="11">
        <f t="shared" si="18"/>
        <v>1213</v>
      </c>
      <c r="B1214" s="11">
        <v>8040320188</v>
      </c>
      <c r="C1214" s="25" t="s">
        <v>620</v>
      </c>
      <c r="D1214" s="27">
        <v>26380</v>
      </c>
      <c r="E1214" s="11">
        <v>0.45</v>
      </c>
      <c r="F1214" s="11" t="s">
        <v>11</v>
      </c>
      <c r="G1214" s="44">
        <v>11871</v>
      </c>
      <c r="H1214" s="28">
        <v>10694.594594594593</v>
      </c>
      <c r="I1214" s="19" t="s">
        <v>544</v>
      </c>
      <c r="J1214" s="19" t="s">
        <v>545</v>
      </c>
      <c r="K1214" s="32" t="s">
        <v>546</v>
      </c>
      <c r="L1214" s="22"/>
      <c r="M1214" s="22"/>
      <c r="N1214" s="22"/>
      <c r="O1214" s="20" t="s">
        <v>15</v>
      </c>
      <c r="P1214" s="25" t="s">
        <v>16</v>
      </c>
      <c r="Q1214" s="16">
        <v>2958465</v>
      </c>
    </row>
    <row r="1215" spans="1:17">
      <c r="A1215" s="11">
        <f t="shared" si="18"/>
        <v>1214</v>
      </c>
      <c r="B1215" s="11">
        <v>8040320189</v>
      </c>
      <c r="C1215" s="25" t="s">
        <v>621</v>
      </c>
      <c r="D1215" s="27">
        <v>40120</v>
      </c>
      <c r="E1215" s="11">
        <v>0.45</v>
      </c>
      <c r="F1215" s="11" t="s">
        <v>11</v>
      </c>
      <c r="G1215" s="44">
        <v>18054</v>
      </c>
      <c r="H1215" s="28">
        <v>16264.864864864863</v>
      </c>
      <c r="I1215" s="19" t="s">
        <v>544</v>
      </c>
      <c r="J1215" s="19" t="s">
        <v>545</v>
      </c>
      <c r="K1215" s="32" t="s">
        <v>546</v>
      </c>
      <c r="L1215" s="22"/>
      <c r="M1215" s="22"/>
      <c r="N1215" s="22"/>
      <c r="O1215" s="20" t="s">
        <v>15</v>
      </c>
      <c r="P1215" s="25" t="s">
        <v>16</v>
      </c>
      <c r="Q1215" s="16">
        <v>2958465</v>
      </c>
    </row>
    <row r="1216" spans="1:17">
      <c r="A1216" s="11">
        <f t="shared" si="18"/>
        <v>1215</v>
      </c>
      <c r="B1216" s="11">
        <v>8040320190</v>
      </c>
      <c r="C1216" s="25" t="s">
        <v>629</v>
      </c>
      <c r="D1216" s="27">
        <v>7690</v>
      </c>
      <c r="E1216" s="11">
        <v>0.45</v>
      </c>
      <c r="F1216" s="11" t="s">
        <v>11</v>
      </c>
      <c r="G1216" s="44">
        <v>3461</v>
      </c>
      <c r="H1216" s="28">
        <v>3118.0180180180178</v>
      </c>
      <c r="I1216" s="19" t="s">
        <v>544</v>
      </c>
      <c r="J1216" s="19" t="s">
        <v>545</v>
      </c>
      <c r="K1216" s="32" t="s">
        <v>546</v>
      </c>
      <c r="L1216" s="22"/>
      <c r="M1216" s="22"/>
      <c r="N1216" s="22"/>
      <c r="O1216" s="20" t="s">
        <v>15</v>
      </c>
      <c r="P1216" s="25" t="s">
        <v>16</v>
      </c>
      <c r="Q1216" s="16">
        <v>2958465</v>
      </c>
    </row>
    <row r="1217" spans="1:17">
      <c r="A1217" s="11">
        <f t="shared" si="18"/>
        <v>1216</v>
      </c>
      <c r="B1217" s="11">
        <v>8040320191</v>
      </c>
      <c r="C1217" s="25" t="s">
        <v>633</v>
      </c>
      <c r="D1217" s="27">
        <v>65140</v>
      </c>
      <c r="E1217" s="11">
        <v>0.45</v>
      </c>
      <c r="F1217" s="11" t="s">
        <v>11</v>
      </c>
      <c r="G1217" s="44">
        <v>29313</v>
      </c>
      <c r="H1217" s="28">
        <v>26408.108108108107</v>
      </c>
      <c r="I1217" s="19" t="s">
        <v>544</v>
      </c>
      <c r="J1217" s="19" t="s">
        <v>545</v>
      </c>
      <c r="K1217" s="32" t="s">
        <v>546</v>
      </c>
      <c r="L1217" s="22"/>
      <c r="M1217" s="22"/>
      <c r="N1217" s="22"/>
      <c r="O1217" s="20" t="s">
        <v>15</v>
      </c>
      <c r="P1217" s="25" t="s">
        <v>16</v>
      </c>
      <c r="Q1217" s="16">
        <v>2958465</v>
      </c>
    </row>
    <row r="1218" spans="1:17">
      <c r="A1218" s="11">
        <f t="shared" si="18"/>
        <v>1217</v>
      </c>
      <c r="B1218" s="11">
        <v>8040320192</v>
      </c>
      <c r="C1218" s="25" t="s">
        <v>644</v>
      </c>
      <c r="D1218" s="27">
        <v>58210</v>
      </c>
      <c r="E1218" s="11">
        <v>0.45</v>
      </c>
      <c r="F1218" s="11" t="s">
        <v>11</v>
      </c>
      <c r="G1218" s="44">
        <v>26195</v>
      </c>
      <c r="H1218" s="28">
        <v>23599.099099099098</v>
      </c>
      <c r="I1218" s="19" t="s">
        <v>544</v>
      </c>
      <c r="J1218" s="19" t="s">
        <v>545</v>
      </c>
      <c r="K1218" s="32" t="s">
        <v>546</v>
      </c>
      <c r="L1218" s="22"/>
      <c r="M1218" s="22"/>
      <c r="N1218" s="22"/>
      <c r="O1218" s="20" t="s">
        <v>15</v>
      </c>
      <c r="P1218" s="25" t="s">
        <v>16</v>
      </c>
      <c r="Q1218" s="16">
        <v>2958465</v>
      </c>
    </row>
    <row r="1219" spans="1:17">
      <c r="A1219" s="11">
        <f t="shared" si="18"/>
        <v>1218</v>
      </c>
      <c r="B1219" s="11">
        <v>8040320193</v>
      </c>
      <c r="C1219" s="25" t="s">
        <v>645</v>
      </c>
      <c r="D1219" s="27">
        <v>88950</v>
      </c>
      <c r="E1219" s="11">
        <v>0.45</v>
      </c>
      <c r="F1219" s="11" t="s">
        <v>11</v>
      </c>
      <c r="G1219" s="44">
        <v>40028</v>
      </c>
      <c r="H1219" s="28">
        <v>36061.261261261257</v>
      </c>
      <c r="I1219" s="19" t="s">
        <v>544</v>
      </c>
      <c r="J1219" s="19" t="s">
        <v>545</v>
      </c>
      <c r="K1219" s="32" t="s">
        <v>546</v>
      </c>
      <c r="L1219" s="22"/>
      <c r="M1219" s="22"/>
      <c r="N1219" s="22"/>
      <c r="O1219" s="20" t="s">
        <v>15</v>
      </c>
      <c r="P1219" s="25" t="s">
        <v>16</v>
      </c>
      <c r="Q1219" s="16">
        <v>2958465</v>
      </c>
    </row>
    <row r="1220" spans="1:17">
      <c r="A1220" s="11">
        <f t="shared" si="18"/>
        <v>1219</v>
      </c>
      <c r="B1220" s="11">
        <v>8040320194</v>
      </c>
      <c r="C1220" s="25" t="s">
        <v>646</v>
      </c>
      <c r="D1220" s="27">
        <v>147050</v>
      </c>
      <c r="E1220" s="11">
        <v>0.45</v>
      </c>
      <c r="F1220" s="11" t="s">
        <v>11</v>
      </c>
      <c r="G1220" s="44">
        <v>66173</v>
      </c>
      <c r="H1220" s="28">
        <v>59615.315315315311</v>
      </c>
      <c r="I1220" s="19" t="s">
        <v>544</v>
      </c>
      <c r="J1220" s="19" t="s">
        <v>545</v>
      </c>
      <c r="K1220" s="32" t="s">
        <v>546</v>
      </c>
      <c r="L1220" s="22"/>
      <c r="M1220" s="22"/>
      <c r="N1220" s="22"/>
      <c r="O1220" s="20" t="s">
        <v>15</v>
      </c>
      <c r="P1220" s="25" t="s">
        <v>16</v>
      </c>
      <c r="Q1220" s="16">
        <v>2958465</v>
      </c>
    </row>
    <row r="1221" spans="1:17">
      <c r="A1221" s="11">
        <f t="shared" ref="A1221:A1284" si="19">ROW()-1</f>
        <v>1220</v>
      </c>
      <c r="B1221" s="11">
        <v>8040320195</v>
      </c>
      <c r="C1221" s="25" t="s">
        <v>552</v>
      </c>
      <c r="D1221" s="27">
        <v>138980</v>
      </c>
      <c r="E1221" s="11">
        <v>0.45</v>
      </c>
      <c r="F1221" s="11" t="s">
        <v>11</v>
      </c>
      <c r="G1221" s="44">
        <v>62541</v>
      </c>
      <c r="H1221" s="28">
        <v>56343.24324324324</v>
      </c>
      <c r="I1221" s="19" t="s">
        <v>544</v>
      </c>
      <c r="J1221" s="19" t="s">
        <v>545</v>
      </c>
      <c r="K1221" s="32" t="s">
        <v>546</v>
      </c>
      <c r="L1221" s="22"/>
      <c r="M1221" s="22"/>
      <c r="N1221" s="22"/>
      <c r="O1221" s="20" t="s">
        <v>15</v>
      </c>
      <c r="P1221" s="25" t="s">
        <v>16</v>
      </c>
      <c r="Q1221" s="16">
        <v>2958465</v>
      </c>
    </row>
    <row r="1222" spans="1:17">
      <c r="A1222" s="11">
        <f t="shared" si="19"/>
        <v>1221</v>
      </c>
      <c r="B1222" s="11">
        <v>8040320196</v>
      </c>
      <c r="C1222" s="25" t="s">
        <v>561</v>
      </c>
      <c r="D1222" s="27">
        <v>168980</v>
      </c>
      <c r="E1222" s="11">
        <v>0.45</v>
      </c>
      <c r="F1222" s="11" t="s">
        <v>11</v>
      </c>
      <c r="G1222" s="44">
        <v>76041</v>
      </c>
      <c r="H1222" s="28">
        <v>68505.4054054054</v>
      </c>
      <c r="I1222" s="19" t="s">
        <v>544</v>
      </c>
      <c r="J1222" s="19" t="s">
        <v>545</v>
      </c>
      <c r="K1222" s="32" t="s">
        <v>546</v>
      </c>
      <c r="L1222" s="22"/>
      <c r="M1222" s="22"/>
      <c r="N1222" s="22"/>
      <c r="O1222" s="20" t="s">
        <v>15</v>
      </c>
      <c r="P1222" s="25" t="s">
        <v>16</v>
      </c>
      <c r="Q1222" s="16">
        <v>2958465</v>
      </c>
    </row>
    <row r="1223" spans="1:17">
      <c r="A1223" s="11">
        <f t="shared" si="19"/>
        <v>1222</v>
      </c>
      <c r="B1223" s="11">
        <v>8040320197</v>
      </c>
      <c r="C1223" s="25" t="s">
        <v>568</v>
      </c>
      <c r="D1223" s="27">
        <v>102760</v>
      </c>
      <c r="E1223" s="11">
        <v>0.45</v>
      </c>
      <c r="F1223" s="11" t="s">
        <v>11</v>
      </c>
      <c r="G1223" s="44">
        <v>46242</v>
      </c>
      <c r="H1223" s="28">
        <v>41659.459459459453</v>
      </c>
      <c r="I1223" s="19" t="s">
        <v>544</v>
      </c>
      <c r="J1223" s="19" t="s">
        <v>545</v>
      </c>
      <c r="K1223" s="32" t="s">
        <v>546</v>
      </c>
      <c r="L1223" s="22"/>
      <c r="M1223" s="22"/>
      <c r="N1223" s="22"/>
      <c r="O1223" s="20" t="s">
        <v>15</v>
      </c>
      <c r="P1223" s="25" t="s">
        <v>16</v>
      </c>
      <c r="Q1223" s="16">
        <v>2958465</v>
      </c>
    </row>
    <row r="1224" spans="1:17">
      <c r="A1224" s="11">
        <f t="shared" si="19"/>
        <v>1223</v>
      </c>
      <c r="B1224" s="11">
        <v>8040320198</v>
      </c>
      <c r="C1224" s="25" t="s">
        <v>570</v>
      </c>
      <c r="D1224" s="27">
        <v>235120</v>
      </c>
      <c r="E1224" s="11">
        <v>0.45</v>
      </c>
      <c r="F1224" s="11" t="s">
        <v>11</v>
      </c>
      <c r="G1224" s="44">
        <v>105804</v>
      </c>
      <c r="H1224" s="28">
        <v>95318.918918918906</v>
      </c>
      <c r="I1224" s="19" t="s">
        <v>544</v>
      </c>
      <c r="J1224" s="19" t="s">
        <v>545</v>
      </c>
      <c r="K1224" s="32" t="s">
        <v>546</v>
      </c>
      <c r="L1224" s="22"/>
      <c r="M1224" s="22"/>
      <c r="N1224" s="22"/>
      <c r="O1224" s="20" t="s">
        <v>15</v>
      </c>
      <c r="P1224" s="25" t="s">
        <v>16</v>
      </c>
      <c r="Q1224" s="16">
        <v>2958465</v>
      </c>
    </row>
    <row r="1225" spans="1:17">
      <c r="A1225" s="11">
        <f t="shared" si="19"/>
        <v>1224</v>
      </c>
      <c r="B1225" s="11">
        <v>8040320199</v>
      </c>
      <c r="C1225" s="25" t="s">
        <v>600</v>
      </c>
      <c r="D1225" s="27">
        <v>111600</v>
      </c>
      <c r="E1225" s="11">
        <v>0.45</v>
      </c>
      <c r="F1225" s="11" t="s">
        <v>11</v>
      </c>
      <c r="G1225" s="44">
        <v>50220</v>
      </c>
      <c r="H1225" s="28">
        <v>45243.24324324324</v>
      </c>
      <c r="I1225" s="19" t="s">
        <v>544</v>
      </c>
      <c r="J1225" s="19" t="s">
        <v>545</v>
      </c>
      <c r="K1225" s="32" t="s">
        <v>546</v>
      </c>
      <c r="L1225" s="22"/>
      <c r="M1225" s="22"/>
      <c r="N1225" s="22"/>
      <c r="O1225" s="20" t="s">
        <v>15</v>
      </c>
      <c r="P1225" s="25" t="s">
        <v>16</v>
      </c>
      <c r="Q1225" s="16">
        <v>2958465</v>
      </c>
    </row>
    <row r="1226" spans="1:17">
      <c r="A1226" s="11">
        <f t="shared" si="19"/>
        <v>1225</v>
      </c>
      <c r="B1226" s="11">
        <v>8040320200</v>
      </c>
      <c r="C1226" s="25" t="s">
        <v>601</v>
      </c>
      <c r="D1226" s="27">
        <v>133930</v>
      </c>
      <c r="E1226" s="11">
        <v>0.45</v>
      </c>
      <c r="F1226" s="11" t="s">
        <v>11</v>
      </c>
      <c r="G1226" s="44">
        <v>60269</v>
      </c>
      <c r="H1226" s="28">
        <v>54296.396396396391</v>
      </c>
      <c r="I1226" s="19" t="s">
        <v>544</v>
      </c>
      <c r="J1226" s="19" t="s">
        <v>545</v>
      </c>
      <c r="K1226" s="32" t="s">
        <v>546</v>
      </c>
      <c r="L1226" s="22"/>
      <c r="M1226" s="22"/>
      <c r="N1226" s="22"/>
      <c r="O1226" s="20" t="s">
        <v>15</v>
      </c>
      <c r="P1226" s="25" t="s">
        <v>16</v>
      </c>
      <c r="Q1226" s="16">
        <v>2958465</v>
      </c>
    </row>
    <row r="1227" spans="1:17">
      <c r="A1227" s="11">
        <f t="shared" si="19"/>
        <v>1226</v>
      </c>
      <c r="B1227" s="11">
        <v>8040320201</v>
      </c>
      <c r="C1227" s="25" t="s">
        <v>584</v>
      </c>
      <c r="D1227" s="27">
        <v>208670</v>
      </c>
      <c r="E1227" s="11">
        <v>0.45</v>
      </c>
      <c r="F1227" s="11" t="s">
        <v>11</v>
      </c>
      <c r="G1227" s="44">
        <v>93902</v>
      </c>
      <c r="H1227" s="28">
        <v>84596.396396396391</v>
      </c>
      <c r="I1227" s="19" t="s">
        <v>544</v>
      </c>
      <c r="J1227" s="19" t="s">
        <v>545</v>
      </c>
      <c r="K1227" s="32" t="s">
        <v>546</v>
      </c>
      <c r="L1227" s="22"/>
      <c r="M1227" s="22"/>
      <c r="N1227" s="22"/>
      <c r="O1227" s="20" t="s">
        <v>15</v>
      </c>
      <c r="P1227" s="25" t="s">
        <v>16</v>
      </c>
      <c r="Q1227" s="16">
        <v>2958465</v>
      </c>
    </row>
    <row r="1228" spans="1:17">
      <c r="A1228" s="11">
        <f t="shared" si="19"/>
        <v>1227</v>
      </c>
      <c r="B1228" s="11">
        <v>8040320202</v>
      </c>
      <c r="C1228" s="25" t="s">
        <v>585</v>
      </c>
      <c r="D1228" s="27">
        <v>223760</v>
      </c>
      <c r="E1228" s="11">
        <v>0.45</v>
      </c>
      <c r="F1228" s="11" t="s">
        <v>11</v>
      </c>
      <c r="G1228" s="44">
        <v>100692</v>
      </c>
      <c r="H1228" s="28">
        <v>90713.513513513506</v>
      </c>
      <c r="I1228" s="19" t="s">
        <v>544</v>
      </c>
      <c r="J1228" s="19" t="s">
        <v>545</v>
      </c>
      <c r="K1228" s="32" t="s">
        <v>546</v>
      </c>
      <c r="L1228" s="22"/>
      <c r="M1228" s="22"/>
      <c r="N1228" s="22"/>
      <c r="O1228" s="20" t="s">
        <v>15</v>
      </c>
      <c r="P1228" s="25" t="s">
        <v>16</v>
      </c>
      <c r="Q1228" s="16">
        <v>2958465</v>
      </c>
    </row>
    <row r="1229" spans="1:17">
      <c r="A1229" s="11">
        <f t="shared" si="19"/>
        <v>1228</v>
      </c>
      <c r="B1229" s="11">
        <v>8040320254</v>
      </c>
      <c r="C1229" s="25" t="s">
        <v>554</v>
      </c>
      <c r="D1229" s="27">
        <v>440640</v>
      </c>
      <c r="E1229" s="11">
        <v>0.45</v>
      </c>
      <c r="F1229" s="11" t="s">
        <v>11</v>
      </c>
      <c r="G1229" s="44">
        <v>198288</v>
      </c>
      <c r="H1229" s="28">
        <v>178637.83783783781</v>
      </c>
      <c r="I1229" s="19" t="s">
        <v>544</v>
      </c>
      <c r="J1229" s="19" t="s">
        <v>545</v>
      </c>
      <c r="K1229" s="32" t="s">
        <v>546</v>
      </c>
      <c r="L1229" s="22"/>
      <c r="M1229" s="22"/>
      <c r="N1229" s="22"/>
      <c r="O1229" s="20" t="s">
        <v>15</v>
      </c>
      <c r="P1229" s="25" t="s">
        <v>16</v>
      </c>
      <c r="Q1229" s="16">
        <v>2958465</v>
      </c>
    </row>
    <row r="1230" spans="1:17">
      <c r="A1230" s="11">
        <f t="shared" si="19"/>
        <v>1229</v>
      </c>
      <c r="B1230" s="11">
        <v>8040320255</v>
      </c>
      <c r="C1230" s="25" t="s">
        <v>602</v>
      </c>
      <c r="D1230" s="27">
        <v>191170</v>
      </c>
      <c r="E1230" s="11">
        <v>0.45</v>
      </c>
      <c r="F1230" s="11" t="s">
        <v>11</v>
      </c>
      <c r="G1230" s="44">
        <v>86027</v>
      </c>
      <c r="H1230" s="28">
        <v>77501.80180180179</v>
      </c>
      <c r="I1230" s="19" t="s">
        <v>544</v>
      </c>
      <c r="J1230" s="19" t="s">
        <v>545</v>
      </c>
      <c r="K1230" s="32" t="s">
        <v>546</v>
      </c>
      <c r="L1230" s="22"/>
      <c r="M1230" s="22"/>
      <c r="N1230" s="22"/>
      <c r="O1230" s="20" t="s">
        <v>15</v>
      </c>
      <c r="P1230" s="25" t="s">
        <v>16</v>
      </c>
      <c r="Q1230" s="16">
        <v>2958465</v>
      </c>
    </row>
    <row r="1231" spans="1:17">
      <c r="A1231" s="11">
        <f t="shared" si="19"/>
        <v>1230</v>
      </c>
      <c r="B1231" s="11">
        <v>8040320256</v>
      </c>
      <c r="C1231" s="25" t="s">
        <v>603</v>
      </c>
      <c r="D1231" s="27">
        <v>205640</v>
      </c>
      <c r="E1231" s="11">
        <v>0.45</v>
      </c>
      <c r="F1231" s="11" t="s">
        <v>11</v>
      </c>
      <c r="G1231" s="44">
        <v>92538</v>
      </c>
      <c r="H1231" s="28">
        <v>83367.567567567559</v>
      </c>
      <c r="I1231" s="19" t="s">
        <v>544</v>
      </c>
      <c r="J1231" s="19" t="s">
        <v>545</v>
      </c>
      <c r="K1231" s="32" t="s">
        <v>546</v>
      </c>
      <c r="L1231" s="22"/>
      <c r="M1231" s="22"/>
      <c r="N1231" s="22"/>
      <c r="O1231" s="20" t="s">
        <v>15</v>
      </c>
      <c r="P1231" s="25" t="s">
        <v>16</v>
      </c>
      <c r="Q1231" s="16">
        <v>2958465</v>
      </c>
    </row>
    <row r="1232" spans="1:17">
      <c r="A1232" s="11">
        <f t="shared" si="19"/>
        <v>1231</v>
      </c>
      <c r="B1232" s="11">
        <v>8040320257</v>
      </c>
      <c r="C1232" s="25" t="s">
        <v>604</v>
      </c>
      <c r="D1232" s="27">
        <v>290480</v>
      </c>
      <c r="E1232" s="11">
        <v>0.45</v>
      </c>
      <c r="F1232" s="11" t="s">
        <v>11</v>
      </c>
      <c r="G1232" s="44">
        <v>130716</v>
      </c>
      <c r="H1232" s="28">
        <v>117762.16216216215</v>
      </c>
      <c r="I1232" s="19" t="s">
        <v>544</v>
      </c>
      <c r="J1232" s="19" t="s">
        <v>545</v>
      </c>
      <c r="K1232" s="32" t="s">
        <v>546</v>
      </c>
      <c r="L1232" s="22"/>
      <c r="M1232" s="22"/>
      <c r="N1232" s="22"/>
      <c r="O1232" s="20" t="s">
        <v>15</v>
      </c>
      <c r="P1232" s="25" t="s">
        <v>16</v>
      </c>
      <c r="Q1232" s="16">
        <v>2958465</v>
      </c>
    </row>
    <row r="1233" spans="1:17">
      <c r="A1233" s="11">
        <f t="shared" si="19"/>
        <v>1232</v>
      </c>
      <c r="B1233" s="11">
        <v>8040320258</v>
      </c>
      <c r="C1233" s="25" t="s">
        <v>605</v>
      </c>
      <c r="D1233" s="27">
        <v>351740</v>
      </c>
      <c r="E1233" s="11">
        <v>0.45</v>
      </c>
      <c r="F1233" s="11" t="s">
        <v>11</v>
      </c>
      <c r="G1233" s="44">
        <v>158283</v>
      </c>
      <c r="H1233" s="28">
        <v>142597.29729729728</v>
      </c>
      <c r="I1233" s="19" t="s">
        <v>544</v>
      </c>
      <c r="J1233" s="19" t="s">
        <v>545</v>
      </c>
      <c r="K1233" s="32" t="s">
        <v>546</v>
      </c>
      <c r="L1233" s="22"/>
      <c r="M1233" s="22"/>
      <c r="N1233" s="22"/>
      <c r="O1233" s="20" t="s">
        <v>15</v>
      </c>
      <c r="P1233" s="25" t="s">
        <v>16</v>
      </c>
      <c r="Q1233" s="16">
        <v>2958465</v>
      </c>
    </row>
    <row r="1234" spans="1:17">
      <c r="A1234" s="11">
        <f t="shared" si="19"/>
        <v>1233</v>
      </c>
      <c r="B1234" s="11">
        <v>8040320259</v>
      </c>
      <c r="C1234" s="25" t="s">
        <v>623</v>
      </c>
      <c r="D1234" s="27">
        <v>6070</v>
      </c>
      <c r="E1234" s="11">
        <v>0.45</v>
      </c>
      <c r="F1234" s="11" t="s">
        <v>11</v>
      </c>
      <c r="G1234" s="44">
        <v>2732</v>
      </c>
      <c r="H1234" s="28">
        <v>2461.2612612612611</v>
      </c>
      <c r="I1234" s="19" t="s">
        <v>544</v>
      </c>
      <c r="J1234" s="19" t="s">
        <v>545</v>
      </c>
      <c r="K1234" s="32" t="s">
        <v>546</v>
      </c>
      <c r="L1234" s="22"/>
      <c r="M1234" s="22"/>
      <c r="N1234" s="22"/>
      <c r="O1234" s="20" t="s">
        <v>15</v>
      </c>
      <c r="P1234" s="25" t="s">
        <v>16</v>
      </c>
      <c r="Q1234" s="16">
        <v>2958465</v>
      </c>
    </row>
    <row r="1235" spans="1:17">
      <c r="A1235" s="11">
        <f t="shared" si="19"/>
        <v>1234</v>
      </c>
      <c r="B1235" s="11">
        <v>8040320260</v>
      </c>
      <c r="C1235" s="25" t="s">
        <v>626</v>
      </c>
      <c r="D1235" s="27">
        <v>20210</v>
      </c>
      <c r="E1235" s="11">
        <v>0.45</v>
      </c>
      <c r="F1235" s="11" t="s">
        <v>11</v>
      </c>
      <c r="G1235" s="44">
        <v>9095</v>
      </c>
      <c r="H1235" s="28">
        <v>8193.6936936936927</v>
      </c>
      <c r="I1235" s="19" t="s">
        <v>544</v>
      </c>
      <c r="J1235" s="19" t="s">
        <v>545</v>
      </c>
      <c r="K1235" s="32" t="s">
        <v>546</v>
      </c>
      <c r="L1235" s="22"/>
      <c r="M1235" s="22"/>
      <c r="N1235" s="22"/>
      <c r="O1235" s="20" t="s">
        <v>15</v>
      </c>
      <c r="P1235" s="25" t="s">
        <v>16</v>
      </c>
      <c r="Q1235" s="16">
        <v>2958465</v>
      </c>
    </row>
    <row r="1236" spans="1:17">
      <c r="A1236" s="11">
        <f t="shared" si="19"/>
        <v>1235</v>
      </c>
      <c r="B1236" s="11">
        <v>8040320261</v>
      </c>
      <c r="C1236" s="25" t="s">
        <v>617</v>
      </c>
      <c r="D1236" s="27">
        <v>7450</v>
      </c>
      <c r="E1236" s="11">
        <v>0.45</v>
      </c>
      <c r="F1236" s="11" t="s">
        <v>11</v>
      </c>
      <c r="G1236" s="44">
        <v>3353</v>
      </c>
      <c r="H1236" s="28">
        <v>3020.7207207207202</v>
      </c>
      <c r="I1236" s="19" t="s">
        <v>544</v>
      </c>
      <c r="J1236" s="19" t="s">
        <v>545</v>
      </c>
      <c r="K1236" s="32" t="s">
        <v>546</v>
      </c>
      <c r="L1236" s="22"/>
      <c r="M1236" s="22"/>
      <c r="N1236" s="22"/>
      <c r="O1236" s="20" t="s">
        <v>15</v>
      </c>
      <c r="P1236" s="25" t="s">
        <v>16</v>
      </c>
      <c r="Q1236" s="16">
        <v>2958465</v>
      </c>
    </row>
    <row r="1237" spans="1:17">
      <c r="A1237" s="11">
        <f t="shared" si="19"/>
        <v>1236</v>
      </c>
      <c r="B1237" s="11">
        <v>8040320262</v>
      </c>
      <c r="C1237" s="25" t="s">
        <v>563</v>
      </c>
      <c r="D1237" s="27">
        <v>492790</v>
      </c>
      <c r="E1237" s="11">
        <v>0.45</v>
      </c>
      <c r="F1237" s="11" t="s">
        <v>11</v>
      </c>
      <c r="G1237" s="44">
        <v>221756</v>
      </c>
      <c r="H1237" s="28">
        <v>199780.18018018015</v>
      </c>
      <c r="I1237" s="19" t="s">
        <v>544</v>
      </c>
      <c r="J1237" s="19" t="s">
        <v>545</v>
      </c>
      <c r="K1237" s="32" t="s">
        <v>546</v>
      </c>
      <c r="L1237" s="22"/>
      <c r="M1237" s="22"/>
      <c r="N1237" s="22"/>
      <c r="O1237" s="20" t="s">
        <v>15</v>
      </c>
      <c r="P1237" s="25" t="s">
        <v>16</v>
      </c>
      <c r="Q1237" s="16">
        <v>2958465</v>
      </c>
    </row>
    <row r="1238" spans="1:17">
      <c r="A1238" s="11">
        <f t="shared" si="19"/>
        <v>1237</v>
      </c>
      <c r="B1238" s="11">
        <v>8040320263</v>
      </c>
      <c r="C1238" s="25" t="s">
        <v>635</v>
      </c>
      <c r="D1238" s="27">
        <v>7690</v>
      </c>
      <c r="E1238" s="11">
        <v>0.45</v>
      </c>
      <c r="F1238" s="11" t="s">
        <v>11</v>
      </c>
      <c r="G1238" s="44">
        <v>3461</v>
      </c>
      <c r="H1238" s="28">
        <v>3118.0180180180178</v>
      </c>
      <c r="I1238" s="19" t="s">
        <v>544</v>
      </c>
      <c r="J1238" s="19" t="s">
        <v>545</v>
      </c>
      <c r="K1238" s="32" t="s">
        <v>546</v>
      </c>
      <c r="L1238" s="22"/>
      <c r="M1238" s="22"/>
      <c r="N1238" s="22"/>
      <c r="O1238" s="20" t="s">
        <v>15</v>
      </c>
      <c r="P1238" s="25" t="s">
        <v>16</v>
      </c>
      <c r="Q1238" s="16">
        <v>2958465</v>
      </c>
    </row>
    <row r="1239" spans="1:17">
      <c r="A1239" s="11">
        <f t="shared" si="19"/>
        <v>1238</v>
      </c>
      <c r="B1239" s="11">
        <v>8040320264</v>
      </c>
      <c r="C1239" s="25" t="s">
        <v>638</v>
      </c>
      <c r="D1239" s="27">
        <v>27330</v>
      </c>
      <c r="E1239" s="11">
        <v>0.45</v>
      </c>
      <c r="F1239" s="11" t="s">
        <v>11</v>
      </c>
      <c r="G1239" s="44">
        <v>12299</v>
      </c>
      <c r="H1239" s="28">
        <v>11080.180180180179</v>
      </c>
      <c r="I1239" s="19" t="s">
        <v>544</v>
      </c>
      <c r="J1239" s="19" t="s">
        <v>545</v>
      </c>
      <c r="K1239" s="32" t="s">
        <v>546</v>
      </c>
      <c r="L1239" s="22"/>
      <c r="M1239" s="22"/>
      <c r="N1239" s="22"/>
      <c r="O1239" s="20" t="s">
        <v>15</v>
      </c>
      <c r="P1239" s="25" t="s">
        <v>16</v>
      </c>
      <c r="Q1239" s="16">
        <v>2958465</v>
      </c>
    </row>
    <row r="1240" spans="1:17">
      <c r="A1240" s="11">
        <f t="shared" si="19"/>
        <v>1239</v>
      </c>
      <c r="B1240" s="11">
        <v>8040320265</v>
      </c>
      <c r="C1240" s="25" t="s">
        <v>632</v>
      </c>
      <c r="D1240" s="27">
        <v>37670</v>
      </c>
      <c r="E1240" s="11">
        <v>0.45</v>
      </c>
      <c r="F1240" s="11" t="s">
        <v>11</v>
      </c>
      <c r="G1240" s="44">
        <v>16952</v>
      </c>
      <c r="H1240" s="28">
        <v>15272.072072072071</v>
      </c>
      <c r="I1240" s="19" t="s">
        <v>544</v>
      </c>
      <c r="J1240" s="19" t="s">
        <v>545</v>
      </c>
      <c r="K1240" s="32" t="s">
        <v>546</v>
      </c>
      <c r="L1240" s="22"/>
      <c r="M1240" s="22"/>
      <c r="N1240" s="22"/>
      <c r="O1240" s="20" t="s">
        <v>15</v>
      </c>
      <c r="P1240" s="25" t="s">
        <v>16</v>
      </c>
      <c r="Q1240" s="16">
        <v>2958465</v>
      </c>
    </row>
    <row r="1241" spans="1:17">
      <c r="A1241" s="11">
        <f t="shared" si="19"/>
        <v>1240</v>
      </c>
      <c r="B1241" s="11">
        <v>8040320266</v>
      </c>
      <c r="C1241" s="25" t="s">
        <v>608</v>
      </c>
      <c r="D1241" s="27">
        <v>6210</v>
      </c>
      <c r="E1241" s="11">
        <v>0.45</v>
      </c>
      <c r="F1241" s="11" t="s">
        <v>11</v>
      </c>
      <c r="G1241" s="44">
        <v>2795</v>
      </c>
      <c r="H1241" s="28">
        <v>2518.0180180180178</v>
      </c>
      <c r="I1241" s="19" t="s">
        <v>544</v>
      </c>
      <c r="J1241" s="19" t="s">
        <v>545</v>
      </c>
      <c r="K1241" s="32" t="s">
        <v>546</v>
      </c>
      <c r="L1241" s="22"/>
      <c r="M1241" s="22"/>
      <c r="N1241" s="22"/>
      <c r="O1241" s="20" t="s">
        <v>15</v>
      </c>
      <c r="P1241" s="25" t="s">
        <v>16</v>
      </c>
      <c r="Q1241" s="16">
        <v>2958465</v>
      </c>
    </row>
    <row r="1242" spans="1:17">
      <c r="A1242" s="11">
        <f t="shared" si="19"/>
        <v>1241</v>
      </c>
      <c r="B1242" s="11">
        <v>8040320267</v>
      </c>
      <c r="C1242" s="25" t="s">
        <v>614</v>
      </c>
      <c r="D1242" s="27">
        <v>78070</v>
      </c>
      <c r="E1242" s="11">
        <v>0.45</v>
      </c>
      <c r="F1242" s="11" t="s">
        <v>11</v>
      </c>
      <c r="G1242" s="44">
        <v>35132</v>
      </c>
      <c r="H1242" s="28">
        <v>31650.450450450448</v>
      </c>
      <c r="I1242" s="19" t="s">
        <v>544</v>
      </c>
      <c r="J1242" s="19" t="s">
        <v>545</v>
      </c>
      <c r="K1242" s="32" t="s">
        <v>546</v>
      </c>
      <c r="L1242" s="22"/>
      <c r="M1242" s="22"/>
      <c r="N1242" s="22"/>
      <c r="O1242" s="20" t="s">
        <v>15</v>
      </c>
      <c r="P1242" s="25" t="s">
        <v>16</v>
      </c>
      <c r="Q1242" s="16">
        <v>2958465</v>
      </c>
    </row>
    <row r="1243" spans="1:17">
      <c r="A1243" s="11">
        <f t="shared" si="19"/>
        <v>1242</v>
      </c>
      <c r="B1243" s="11">
        <v>8040320268</v>
      </c>
      <c r="C1243" s="25" t="s">
        <v>553</v>
      </c>
      <c r="D1243" s="27">
        <v>247880</v>
      </c>
      <c r="E1243" s="11">
        <v>0.45</v>
      </c>
      <c r="F1243" s="11" t="s">
        <v>11</v>
      </c>
      <c r="G1243" s="44">
        <v>111546</v>
      </c>
      <c r="H1243" s="28">
        <v>100491.89189189188</v>
      </c>
      <c r="I1243" s="19" t="s">
        <v>544</v>
      </c>
      <c r="J1243" s="19" t="s">
        <v>545</v>
      </c>
      <c r="K1243" s="32" t="s">
        <v>546</v>
      </c>
      <c r="L1243" s="22"/>
      <c r="M1243" s="22"/>
      <c r="N1243" s="22"/>
      <c r="O1243" s="20" t="s">
        <v>15</v>
      </c>
      <c r="P1243" s="25" t="s">
        <v>16</v>
      </c>
      <c r="Q1243" s="16">
        <v>2958465</v>
      </c>
    </row>
    <row r="1244" spans="1:17">
      <c r="A1244" s="11">
        <f t="shared" si="19"/>
        <v>1243</v>
      </c>
      <c r="B1244" s="11">
        <v>8040320269</v>
      </c>
      <c r="C1244" s="25" t="s">
        <v>562</v>
      </c>
      <c r="D1244" s="27">
        <v>260300</v>
      </c>
      <c r="E1244" s="11">
        <v>0.45</v>
      </c>
      <c r="F1244" s="11" t="s">
        <v>11</v>
      </c>
      <c r="G1244" s="44">
        <v>117135</v>
      </c>
      <c r="H1244" s="28">
        <v>105527.02702702701</v>
      </c>
      <c r="I1244" s="19" t="s">
        <v>544</v>
      </c>
      <c r="J1244" s="19" t="s">
        <v>545</v>
      </c>
      <c r="K1244" s="32" t="s">
        <v>546</v>
      </c>
      <c r="L1244" s="22"/>
      <c r="M1244" s="22"/>
      <c r="N1244" s="22"/>
      <c r="O1244" s="20" t="s">
        <v>15</v>
      </c>
      <c r="P1244" s="25" t="s">
        <v>16</v>
      </c>
      <c r="Q1244" s="16">
        <v>2958465</v>
      </c>
    </row>
    <row r="1245" spans="1:17">
      <c r="A1245" s="11">
        <f t="shared" si="19"/>
        <v>1244</v>
      </c>
      <c r="B1245" s="11">
        <v>8040320270</v>
      </c>
      <c r="C1245" s="25" t="s">
        <v>571</v>
      </c>
      <c r="D1245" s="27">
        <v>408410</v>
      </c>
      <c r="E1245" s="11">
        <v>0.45</v>
      </c>
      <c r="F1245" s="11" t="s">
        <v>11</v>
      </c>
      <c r="G1245" s="44">
        <v>183785</v>
      </c>
      <c r="H1245" s="28">
        <v>165572.07207207207</v>
      </c>
      <c r="I1245" s="19" t="s">
        <v>544</v>
      </c>
      <c r="J1245" s="19" t="s">
        <v>545</v>
      </c>
      <c r="K1245" s="32" t="s">
        <v>546</v>
      </c>
      <c r="L1245" s="22"/>
      <c r="M1245" s="22"/>
      <c r="N1245" s="22"/>
      <c r="O1245" s="20" t="s">
        <v>15</v>
      </c>
      <c r="P1245" s="25" t="s">
        <v>16</v>
      </c>
      <c r="Q1245" s="16">
        <v>2958465</v>
      </c>
    </row>
    <row r="1246" spans="1:17">
      <c r="A1246" s="11">
        <f t="shared" si="19"/>
        <v>1245</v>
      </c>
      <c r="B1246" s="11">
        <v>8040320271</v>
      </c>
      <c r="C1246" s="25" t="s">
        <v>615</v>
      </c>
      <c r="D1246" s="27">
        <v>131070</v>
      </c>
      <c r="E1246" s="11">
        <v>0.45</v>
      </c>
      <c r="F1246" s="11" t="s">
        <v>11</v>
      </c>
      <c r="G1246" s="44">
        <v>58982</v>
      </c>
      <c r="H1246" s="28">
        <v>53136.936936936931</v>
      </c>
      <c r="I1246" s="19" t="s">
        <v>544</v>
      </c>
      <c r="J1246" s="19" t="s">
        <v>545</v>
      </c>
      <c r="K1246" s="32" t="s">
        <v>546</v>
      </c>
      <c r="L1246" s="22"/>
      <c r="M1246" s="22"/>
      <c r="N1246" s="22"/>
      <c r="O1246" s="20" t="s">
        <v>15</v>
      </c>
      <c r="P1246" s="25" t="s">
        <v>16</v>
      </c>
      <c r="Q1246" s="16">
        <v>2958465</v>
      </c>
    </row>
    <row r="1247" spans="1:17">
      <c r="A1247" s="11">
        <f t="shared" si="19"/>
        <v>1246</v>
      </c>
      <c r="B1247" s="11">
        <v>8040320272</v>
      </c>
      <c r="C1247" s="25" t="s">
        <v>587</v>
      </c>
      <c r="D1247" s="27">
        <v>371810</v>
      </c>
      <c r="E1247" s="11">
        <v>0.45</v>
      </c>
      <c r="F1247" s="11" t="s">
        <v>11</v>
      </c>
      <c r="G1247" s="44">
        <v>167315</v>
      </c>
      <c r="H1247" s="28">
        <v>150734.23423423423</v>
      </c>
      <c r="I1247" s="19" t="s">
        <v>544</v>
      </c>
      <c r="J1247" s="19" t="s">
        <v>545</v>
      </c>
      <c r="K1247" s="32" t="s">
        <v>546</v>
      </c>
      <c r="L1247" s="22"/>
      <c r="M1247" s="22"/>
      <c r="N1247" s="22"/>
      <c r="O1247" s="20" t="s">
        <v>15</v>
      </c>
      <c r="P1247" s="25" t="s">
        <v>16</v>
      </c>
      <c r="Q1247" s="16">
        <v>2958465</v>
      </c>
    </row>
    <row r="1248" spans="1:17">
      <c r="A1248" s="11">
        <f t="shared" si="19"/>
        <v>1247</v>
      </c>
      <c r="B1248" s="11">
        <v>8040320292</v>
      </c>
      <c r="C1248" s="25" t="s">
        <v>572</v>
      </c>
      <c r="D1248" s="27">
        <v>723860</v>
      </c>
      <c r="E1248" s="11">
        <v>0.45</v>
      </c>
      <c r="F1248" s="11" t="s">
        <v>11</v>
      </c>
      <c r="G1248" s="44">
        <v>325737</v>
      </c>
      <c r="H1248" s="28">
        <v>293456.75675675675</v>
      </c>
      <c r="I1248" s="19" t="s">
        <v>544</v>
      </c>
      <c r="J1248" s="19" t="s">
        <v>545</v>
      </c>
      <c r="K1248" s="32" t="s">
        <v>546</v>
      </c>
      <c r="L1248" s="22"/>
      <c r="M1248" s="22"/>
      <c r="N1248" s="22"/>
      <c r="O1248" s="20" t="s">
        <v>15</v>
      </c>
      <c r="P1248" s="25" t="s">
        <v>16</v>
      </c>
      <c r="Q1248" s="16">
        <v>2958465</v>
      </c>
    </row>
    <row r="1249" spans="1:17">
      <c r="A1249" s="11">
        <f t="shared" si="19"/>
        <v>1248</v>
      </c>
      <c r="B1249" s="11">
        <v>8040320293</v>
      </c>
      <c r="C1249" s="25" t="s">
        <v>586</v>
      </c>
      <c r="D1249" s="27">
        <v>357240</v>
      </c>
      <c r="E1249" s="11">
        <v>0.45</v>
      </c>
      <c r="F1249" s="11" t="s">
        <v>11</v>
      </c>
      <c r="G1249" s="44">
        <v>160758</v>
      </c>
      <c r="H1249" s="28">
        <v>144827.02702702701</v>
      </c>
      <c r="I1249" s="19" t="s">
        <v>544</v>
      </c>
      <c r="J1249" s="19" t="s">
        <v>545</v>
      </c>
      <c r="K1249" s="32" t="s">
        <v>546</v>
      </c>
      <c r="L1249" s="22"/>
      <c r="M1249" s="22"/>
      <c r="N1249" s="22"/>
      <c r="O1249" s="20" t="s">
        <v>15</v>
      </c>
      <c r="P1249" s="25" t="s">
        <v>16</v>
      </c>
      <c r="Q1249" s="16">
        <v>2958465</v>
      </c>
    </row>
    <row r="1250" spans="1:17">
      <c r="A1250" s="11">
        <f t="shared" si="19"/>
        <v>1249</v>
      </c>
      <c r="B1250" s="11">
        <v>8040320294</v>
      </c>
      <c r="C1250" s="25" t="s">
        <v>588</v>
      </c>
      <c r="D1250" s="27">
        <v>663640</v>
      </c>
      <c r="E1250" s="11">
        <v>0.45</v>
      </c>
      <c r="F1250" s="11" t="s">
        <v>11</v>
      </c>
      <c r="G1250" s="44">
        <v>298638</v>
      </c>
      <c r="H1250" s="28">
        <v>269043.2432432432</v>
      </c>
      <c r="I1250" s="19" t="s">
        <v>544</v>
      </c>
      <c r="J1250" s="19" t="s">
        <v>545</v>
      </c>
      <c r="K1250" s="32" t="s">
        <v>546</v>
      </c>
      <c r="L1250" s="22"/>
      <c r="M1250" s="22"/>
      <c r="N1250" s="22"/>
      <c r="O1250" s="20" t="s">
        <v>15</v>
      </c>
      <c r="P1250" s="25" t="s">
        <v>16</v>
      </c>
      <c r="Q1250" s="16">
        <v>2958465</v>
      </c>
    </row>
    <row r="1251" spans="1:17">
      <c r="A1251" s="11">
        <f t="shared" si="19"/>
        <v>1250</v>
      </c>
      <c r="B1251" s="11">
        <v>8040320295</v>
      </c>
      <c r="C1251" s="25" t="s">
        <v>641</v>
      </c>
      <c r="D1251" s="27">
        <v>15550</v>
      </c>
      <c r="E1251" s="11">
        <v>0.45</v>
      </c>
      <c r="F1251" s="11" t="s">
        <v>11</v>
      </c>
      <c r="G1251" s="44">
        <v>6998</v>
      </c>
      <c r="H1251" s="28">
        <v>6304.5045045045035</v>
      </c>
      <c r="I1251" s="19" t="s">
        <v>544</v>
      </c>
      <c r="J1251" s="19" t="s">
        <v>545</v>
      </c>
      <c r="K1251" s="32" t="s">
        <v>546</v>
      </c>
      <c r="L1251" s="22"/>
      <c r="M1251" s="22"/>
      <c r="N1251" s="22"/>
      <c r="O1251" s="20" t="s">
        <v>15</v>
      </c>
      <c r="P1251" s="25" t="s">
        <v>16</v>
      </c>
      <c r="Q1251" s="16">
        <v>2958465</v>
      </c>
    </row>
    <row r="1252" spans="1:17">
      <c r="A1252" s="11">
        <f t="shared" si="19"/>
        <v>1251</v>
      </c>
      <c r="B1252" s="11">
        <v>8040320296</v>
      </c>
      <c r="C1252" s="25" t="s">
        <v>622</v>
      </c>
      <c r="D1252" s="27">
        <v>65740</v>
      </c>
      <c r="E1252" s="11">
        <v>0.45</v>
      </c>
      <c r="F1252" s="11" t="s">
        <v>11</v>
      </c>
      <c r="G1252" s="44">
        <v>29583</v>
      </c>
      <c r="H1252" s="28">
        <v>26651.35135135135</v>
      </c>
      <c r="I1252" s="19" t="s">
        <v>544</v>
      </c>
      <c r="J1252" s="19" t="s">
        <v>545</v>
      </c>
      <c r="K1252" s="32" t="s">
        <v>546</v>
      </c>
      <c r="L1252" s="22"/>
      <c r="M1252" s="22"/>
      <c r="N1252" s="22"/>
      <c r="O1252" s="20" t="s">
        <v>15</v>
      </c>
      <c r="P1252" s="25" t="s">
        <v>16</v>
      </c>
      <c r="Q1252" s="16">
        <v>2958465</v>
      </c>
    </row>
    <row r="1253" spans="1:17">
      <c r="A1253" s="11">
        <f t="shared" si="19"/>
        <v>1252</v>
      </c>
      <c r="B1253" s="11">
        <v>8040320297</v>
      </c>
      <c r="C1253" s="25" t="s">
        <v>652</v>
      </c>
      <c r="D1253" s="27">
        <v>138600</v>
      </c>
      <c r="E1253" s="11">
        <v>0.45</v>
      </c>
      <c r="F1253" s="11" t="s">
        <v>11</v>
      </c>
      <c r="G1253" s="44">
        <v>62370</v>
      </c>
      <c r="H1253" s="28">
        <v>56189.189189189186</v>
      </c>
      <c r="I1253" s="19" t="s">
        <v>544</v>
      </c>
      <c r="J1253" s="19" t="s">
        <v>545</v>
      </c>
      <c r="K1253" s="32" t="s">
        <v>546</v>
      </c>
      <c r="L1253" s="22"/>
      <c r="M1253" s="22"/>
      <c r="N1253" s="22"/>
      <c r="O1253" s="20" t="s">
        <v>15</v>
      </c>
      <c r="P1253" s="25" t="s">
        <v>16</v>
      </c>
      <c r="Q1253" s="16">
        <v>2958465</v>
      </c>
    </row>
    <row r="1254" spans="1:17">
      <c r="A1254" s="11">
        <f t="shared" si="19"/>
        <v>1253</v>
      </c>
      <c r="B1254" s="11">
        <v>8040320298</v>
      </c>
      <c r="C1254" s="25" t="s">
        <v>612</v>
      </c>
      <c r="D1254" s="27">
        <v>33860</v>
      </c>
      <c r="E1254" s="11">
        <v>0.45</v>
      </c>
      <c r="F1254" s="11" t="s">
        <v>11</v>
      </c>
      <c r="G1254" s="44">
        <v>15237</v>
      </c>
      <c r="H1254" s="28">
        <v>13727.027027027027</v>
      </c>
      <c r="I1254" s="19" t="s">
        <v>544</v>
      </c>
      <c r="J1254" s="19" t="s">
        <v>545</v>
      </c>
      <c r="K1254" s="32" t="s">
        <v>546</v>
      </c>
      <c r="L1254" s="22"/>
      <c r="M1254" s="22"/>
      <c r="N1254" s="22"/>
      <c r="O1254" s="20" t="s">
        <v>15</v>
      </c>
      <c r="P1254" s="25" t="s">
        <v>16</v>
      </c>
      <c r="Q1254" s="16">
        <v>2958465</v>
      </c>
    </row>
    <row r="1255" spans="1:17">
      <c r="A1255" s="11">
        <f t="shared" si="19"/>
        <v>1254</v>
      </c>
      <c r="B1255" s="11">
        <v>8040320299</v>
      </c>
      <c r="C1255" s="25" t="s">
        <v>616</v>
      </c>
      <c r="D1255" s="27">
        <v>245120</v>
      </c>
      <c r="E1255" s="11">
        <v>0.45</v>
      </c>
      <c r="F1255" s="11" t="s">
        <v>11</v>
      </c>
      <c r="G1255" s="44">
        <v>110304</v>
      </c>
      <c r="H1255" s="28">
        <v>99372.972972972959</v>
      </c>
      <c r="I1255" s="19" t="s">
        <v>544</v>
      </c>
      <c r="J1255" s="19" t="s">
        <v>545</v>
      </c>
      <c r="K1255" s="32" t="s">
        <v>546</v>
      </c>
      <c r="L1255" s="22"/>
      <c r="M1255" s="22"/>
      <c r="N1255" s="22"/>
      <c r="O1255" s="20" t="s">
        <v>15</v>
      </c>
      <c r="P1255" s="25" t="s">
        <v>16</v>
      </c>
      <c r="Q1255" s="16">
        <v>2958465</v>
      </c>
    </row>
    <row r="1256" spans="1:17">
      <c r="A1256" s="11">
        <f t="shared" si="19"/>
        <v>1255</v>
      </c>
      <c r="B1256" s="11">
        <v>8040320318</v>
      </c>
      <c r="C1256" s="25" t="s">
        <v>606</v>
      </c>
      <c r="D1256" s="27">
        <v>65330</v>
      </c>
      <c r="E1256" s="11">
        <v>0.45</v>
      </c>
      <c r="F1256" s="11" t="s">
        <v>11</v>
      </c>
      <c r="G1256" s="44">
        <v>29399</v>
      </c>
      <c r="H1256" s="28">
        <v>26485.585585585584</v>
      </c>
      <c r="I1256" s="19" t="s">
        <v>544</v>
      </c>
      <c r="J1256" s="19" t="s">
        <v>545</v>
      </c>
      <c r="K1256" s="32" t="s">
        <v>546</v>
      </c>
      <c r="L1256" s="22"/>
      <c r="M1256" s="22"/>
      <c r="N1256" s="22"/>
      <c r="O1256" s="20" t="s">
        <v>15</v>
      </c>
      <c r="P1256" s="25" t="s">
        <v>16</v>
      </c>
      <c r="Q1256" s="16">
        <v>2958465</v>
      </c>
    </row>
    <row r="1257" spans="1:17">
      <c r="A1257" s="11">
        <f t="shared" si="19"/>
        <v>1256</v>
      </c>
      <c r="B1257" s="11">
        <v>8040320321</v>
      </c>
      <c r="C1257" s="25" t="s">
        <v>607</v>
      </c>
      <c r="D1257" s="27">
        <v>72050</v>
      </c>
      <c r="E1257" s="11">
        <v>0.45</v>
      </c>
      <c r="F1257" s="11" t="s">
        <v>11</v>
      </c>
      <c r="G1257" s="44">
        <v>32423</v>
      </c>
      <c r="H1257" s="28">
        <v>29209.909909909908</v>
      </c>
      <c r="I1257" s="19" t="s">
        <v>544</v>
      </c>
      <c r="J1257" s="19" t="s">
        <v>545</v>
      </c>
      <c r="K1257" s="32" t="s">
        <v>546</v>
      </c>
      <c r="L1257" s="22"/>
      <c r="M1257" s="22"/>
      <c r="N1257" s="22"/>
      <c r="O1257" s="20" t="s">
        <v>15</v>
      </c>
      <c r="P1257" s="25" t="s">
        <v>16</v>
      </c>
      <c r="Q1257" s="16">
        <v>2958465</v>
      </c>
    </row>
    <row r="1258" spans="1:17">
      <c r="A1258" s="11">
        <f t="shared" si="19"/>
        <v>1257</v>
      </c>
      <c r="B1258" s="12">
        <v>8110010001</v>
      </c>
      <c r="C1258" s="30" t="s">
        <v>1333</v>
      </c>
      <c r="D1258" s="30"/>
      <c r="E1258" s="30"/>
      <c r="F1258" s="30"/>
      <c r="G1258" s="43">
        <v>13564</v>
      </c>
      <c r="H1258" s="31">
        <v>12219.819819819819</v>
      </c>
      <c r="I1258" s="13" t="s">
        <v>253</v>
      </c>
      <c r="J1258" s="13" t="s">
        <v>254</v>
      </c>
      <c r="K1258" s="14" t="s">
        <v>1334</v>
      </c>
      <c r="L1258" s="12" t="s">
        <v>1266</v>
      </c>
      <c r="M1258" s="12" t="s">
        <v>11</v>
      </c>
      <c r="N1258" s="15" t="s">
        <v>1267</v>
      </c>
      <c r="O1258" s="15" t="s">
        <v>15</v>
      </c>
      <c r="P1258" s="12" t="s">
        <v>16</v>
      </c>
      <c r="Q1258" s="16">
        <v>2958465</v>
      </c>
    </row>
    <row r="1259" spans="1:17">
      <c r="A1259" s="11">
        <f t="shared" si="19"/>
        <v>1258</v>
      </c>
      <c r="B1259" s="12">
        <v>8110010002</v>
      </c>
      <c r="C1259" s="30" t="s">
        <v>1335</v>
      </c>
      <c r="D1259" s="30"/>
      <c r="E1259" s="30"/>
      <c r="F1259" s="30"/>
      <c r="G1259" s="43">
        <v>14638</v>
      </c>
      <c r="H1259" s="31">
        <v>13187.387387387385</v>
      </c>
      <c r="I1259" s="13" t="s">
        <v>253</v>
      </c>
      <c r="J1259" s="13" t="s">
        <v>254</v>
      </c>
      <c r="K1259" s="14" t="s">
        <v>1334</v>
      </c>
      <c r="L1259" s="12" t="s">
        <v>1266</v>
      </c>
      <c r="M1259" s="12" t="s">
        <v>11</v>
      </c>
      <c r="N1259" s="15" t="s">
        <v>1267</v>
      </c>
      <c r="O1259" s="15" t="s">
        <v>15</v>
      </c>
      <c r="P1259" s="12" t="s">
        <v>16</v>
      </c>
      <c r="Q1259" s="16">
        <v>2958465</v>
      </c>
    </row>
    <row r="1260" spans="1:17">
      <c r="A1260" s="11">
        <f t="shared" si="19"/>
        <v>1259</v>
      </c>
      <c r="B1260" s="12">
        <v>8110010003</v>
      </c>
      <c r="C1260" s="30" t="s">
        <v>1336</v>
      </c>
      <c r="D1260" s="30"/>
      <c r="E1260" s="30"/>
      <c r="F1260" s="30"/>
      <c r="G1260" s="43">
        <v>15507</v>
      </c>
      <c r="H1260" s="31">
        <v>13970.270270270268</v>
      </c>
      <c r="I1260" s="13" t="s">
        <v>253</v>
      </c>
      <c r="J1260" s="13" t="s">
        <v>254</v>
      </c>
      <c r="K1260" s="14" t="s">
        <v>1334</v>
      </c>
      <c r="L1260" s="12" t="s">
        <v>1266</v>
      </c>
      <c r="M1260" s="12" t="s">
        <v>11</v>
      </c>
      <c r="N1260" s="15" t="s">
        <v>1267</v>
      </c>
      <c r="O1260" s="15" t="s">
        <v>15</v>
      </c>
      <c r="P1260" s="12" t="s">
        <v>16</v>
      </c>
      <c r="Q1260" s="16">
        <v>2958465</v>
      </c>
    </row>
    <row r="1261" spans="1:17">
      <c r="A1261" s="11">
        <f t="shared" si="19"/>
        <v>1260</v>
      </c>
      <c r="B1261" s="11">
        <v>8110010004</v>
      </c>
      <c r="C1261" s="25" t="s">
        <v>252</v>
      </c>
      <c r="D1261" s="27">
        <v>28644</v>
      </c>
      <c r="E1261" s="11">
        <v>0.66</v>
      </c>
      <c r="F1261" s="11" t="s">
        <v>11</v>
      </c>
      <c r="G1261" s="44">
        <v>18905</v>
      </c>
      <c r="H1261" s="28">
        <v>17031.531531531531</v>
      </c>
      <c r="I1261" s="19" t="s">
        <v>253</v>
      </c>
      <c r="J1261" s="19" t="s">
        <v>254</v>
      </c>
      <c r="K1261" s="32" t="s">
        <v>255</v>
      </c>
      <c r="L1261" s="22"/>
      <c r="M1261" s="22"/>
      <c r="N1261" s="22"/>
      <c r="O1261" s="20" t="s">
        <v>15</v>
      </c>
      <c r="P1261" s="25" t="s">
        <v>16</v>
      </c>
      <c r="Q1261" s="16">
        <v>2958465</v>
      </c>
    </row>
    <row r="1262" spans="1:17">
      <c r="A1262" s="11">
        <f t="shared" si="19"/>
        <v>1261</v>
      </c>
      <c r="B1262" s="12">
        <v>8110010005</v>
      </c>
      <c r="C1262" s="30" t="s">
        <v>1337</v>
      </c>
      <c r="D1262" s="30"/>
      <c r="E1262" s="30"/>
      <c r="F1262" s="30"/>
      <c r="G1262" s="43">
        <v>17383</v>
      </c>
      <c r="H1262" s="31">
        <v>15660.360360360359</v>
      </c>
      <c r="I1262" s="13" t="s">
        <v>253</v>
      </c>
      <c r="J1262" s="13" t="s">
        <v>254</v>
      </c>
      <c r="K1262" s="14" t="s">
        <v>1334</v>
      </c>
      <c r="L1262" s="12" t="s">
        <v>1266</v>
      </c>
      <c r="M1262" s="12" t="s">
        <v>11</v>
      </c>
      <c r="N1262" s="15" t="s">
        <v>1267</v>
      </c>
      <c r="O1262" s="15" t="s">
        <v>15</v>
      </c>
      <c r="P1262" s="12" t="s">
        <v>16</v>
      </c>
      <c r="Q1262" s="16">
        <v>2958465</v>
      </c>
    </row>
    <row r="1263" spans="1:17">
      <c r="A1263" s="11">
        <f t="shared" si="19"/>
        <v>1262</v>
      </c>
      <c r="B1263" s="12">
        <v>8110010006</v>
      </c>
      <c r="C1263" s="30" t="s">
        <v>1338</v>
      </c>
      <c r="D1263" s="30"/>
      <c r="E1263" s="30"/>
      <c r="F1263" s="30"/>
      <c r="G1263" s="43">
        <v>11826</v>
      </c>
      <c r="H1263" s="31">
        <v>10654.054054054053</v>
      </c>
      <c r="I1263" s="13" t="s">
        <v>253</v>
      </c>
      <c r="J1263" s="13" t="s">
        <v>254</v>
      </c>
      <c r="K1263" s="14" t="s">
        <v>1334</v>
      </c>
      <c r="L1263" s="12" t="s">
        <v>1266</v>
      </c>
      <c r="M1263" s="12" t="s">
        <v>11</v>
      </c>
      <c r="N1263" s="15" t="s">
        <v>1267</v>
      </c>
      <c r="O1263" s="15" t="s">
        <v>15</v>
      </c>
      <c r="P1263" s="12" t="s">
        <v>16</v>
      </c>
      <c r="Q1263" s="16">
        <v>2958465</v>
      </c>
    </row>
    <row r="1264" spans="1:17">
      <c r="A1264" s="11">
        <f t="shared" si="19"/>
        <v>1263</v>
      </c>
      <c r="B1264" s="11">
        <v>8110010007</v>
      </c>
      <c r="C1264" s="25" t="s">
        <v>256</v>
      </c>
      <c r="D1264" s="27">
        <v>27823</v>
      </c>
      <c r="E1264" s="11">
        <v>0.66</v>
      </c>
      <c r="F1264" s="11" t="s">
        <v>11</v>
      </c>
      <c r="G1264" s="44">
        <v>18363</v>
      </c>
      <c r="H1264" s="28">
        <v>16543.243243243243</v>
      </c>
      <c r="I1264" s="19" t="s">
        <v>253</v>
      </c>
      <c r="J1264" s="19" t="s">
        <v>254</v>
      </c>
      <c r="K1264" s="32" t="s">
        <v>255</v>
      </c>
      <c r="L1264" s="22"/>
      <c r="M1264" s="22"/>
      <c r="N1264" s="22"/>
      <c r="O1264" s="20" t="s">
        <v>15</v>
      </c>
      <c r="P1264" s="25" t="s">
        <v>16</v>
      </c>
      <c r="Q1264" s="16">
        <v>2958465</v>
      </c>
    </row>
    <row r="1265" spans="1:17">
      <c r="A1265" s="11">
        <f t="shared" si="19"/>
        <v>1264</v>
      </c>
      <c r="B1265" s="12">
        <v>8110010008</v>
      </c>
      <c r="C1265" s="30" t="s">
        <v>1339</v>
      </c>
      <c r="D1265" s="30"/>
      <c r="E1265" s="30"/>
      <c r="F1265" s="30"/>
      <c r="G1265" s="43">
        <v>14845</v>
      </c>
      <c r="H1265" s="31">
        <v>13373.873873873872</v>
      </c>
      <c r="I1265" s="13" t="s">
        <v>253</v>
      </c>
      <c r="J1265" s="13" t="s">
        <v>254</v>
      </c>
      <c r="K1265" s="14" t="s">
        <v>1334</v>
      </c>
      <c r="L1265" s="12" t="s">
        <v>1266</v>
      </c>
      <c r="M1265" s="12" t="s">
        <v>11</v>
      </c>
      <c r="N1265" s="15" t="s">
        <v>1267</v>
      </c>
      <c r="O1265" s="15" t="s">
        <v>15</v>
      </c>
      <c r="P1265" s="12" t="s">
        <v>16</v>
      </c>
      <c r="Q1265" s="16">
        <v>2958465</v>
      </c>
    </row>
    <row r="1266" spans="1:17">
      <c r="A1266" s="11">
        <f t="shared" si="19"/>
        <v>1265</v>
      </c>
      <c r="B1266" s="11">
        <v>8110010009</v>
      </c>
      <c r="C1266" s="25" t="s">
        <v>257</v>
      </c>
      <c r="D1266" s="27">
        <v>32821</v>
      </c>
      <c r="E1266" s="11">
        <v>0.66</v>
      </c>
      <c r="F1266" s="11" t="s">
        <v>11</v>
      </c>
      <c r="G1266" s="44">
        <v>21662</v>
      </c>
      <c r="H1266" s="28">
        <v>19515.315315315314</v>
      </c>
      <c r="I1266" s="19" t="s">
        <v>253</v>
      </c>
      <c r="J1266" s="19" t="s">
        <v>254</v>
      </c>
      <c r="K1266" s="32" t="s">
        <v>255</v>
      </c>
      <c r="L1266" s="22"/>
      <c r="M1266" s="22"/>
      <c r="N1266" s="22"/>
      <c r="O1266" s="20" t="s">
        <v>15</v>
      </c>
      <c r="P1266" s="25" t="s">
        <v>16</v>
      </c>
      <c r="Q1266" s="16">
        <v>2958465</v>
      </c>
    </row>
    <row r="1267" spans="1:17">
      <c r="A1267" s="11">
        <f t="shared" si="19"/>
        <v>1266</v>
      </c>
      <c r="B1267" s="12">
        <v>8110010010</v>
      </c>
      <c r="C1267" s="30" t="s">
        <v>1340</v>
      </c>
      <c r="D1267" s="30"/>
      <c r="E1267" s="30"/>
      <c r="F1267" s="30"/>
      <c r="G1267" s="43">
        <v>17886</v>
      </c>
      <c r="H1267" s="31">
        <v>16113.513513513511</v>
      </c>
      <c r="I1267" s="13" t="s">
        <v>253</v>
      </c>
      <c r="J1267" s="13" t="s">
        <v>254</v>
      </c>
      <c r="K1267" s="14" t="s">
        <v>1334</v>
      </c>
      <c r="L1267" s="12" t="s">
        <v>1266</v>
      </c>
      <c r="M1267" s="12" t="s">
        <v>11</v>
      </c>
      <c r="N1267" s="15" t="s">
        <v>1267</v>
      </c>
      <c r="O1267" s="15" t="s">
        <v>15</v>
      </c>
      <c r="P1267" s="12" t="s">
        <v>16</v>
      </c>
      <c r="Q1267" s="16">
        <v>2958465</v>
      </c>
    </row>
    <row r="1268" spans="1:17">
      <c r="A1268" s="11">
        <f t="shared" si="19"/>
        <v>1267</v>
      </c>
      <c r="B1268" s="11">
        <v>8110010011</v>
      </c>
      <c r="C1268" s="25" t="s">
        <v>258</v>
      </c>
      <c r="D1268" s="27">
        <v>39869</v>
      </c>
      <c r="E1268" s="11">
        <v>0.66</v>
      </c>
      <c r="F1268" s="11" t="s">
        <v>11</v>
      </c>
      <c r="G1268" s="44">
        <v>26314</v>
      </c>
      <c r="H1268" s="28">
        <v>23706.306306306305</v>
      </c>
      <c r="I1268" s="19" t="s">
        <v>253</v>
      </c>
      <c r="J1268" s="19" t="s">
        <v>254</v>
      </c>
      <c r="K1268" s="32" t="s">
        <v>255</v>
      </c>
      <c r="L1268" s="22"/>
      <c r="M1268" s="22"/>
      <c r="N1268" s="22"/>
      <c r="O1268" s="20" t="s">
        <v>15</v>
      </c>
      <c r="P1268" s="25" t="s">
        <v>16</v>
      </c>
      <c r="Q1268" s="16">
        <v>2958465</v>
      </c>
    </row>
    <row r="1269" spans="1:17">
      <c r="A1269" s="11">
        <f t="shared" si="19"/>
        <v>1268</v>
      </c>
      <c r="B1269" s="12">
        <v>8110010012</v>
      </c>
      <c r="C1269" s="30" t="s">
        <v>1341</v>
      </c>
      <c r="D1269" s="30"/>
      <c r="E1269" s="30"/>
      <c r="F1269" s="30"/>
      <c r="G1269" s="43">
        <v>24085</v>
      </c>
      <c r="H1269" s="31">
        <v>21698.198198198195</v>
      </c>
      <c r="I1269" s="13" t="s">
        <v>253</v>
      </c>
      <c r="J1269" s="13" t="s">
        <v>254</v>
      </c>
      <c r="K1269" s="14" t="s">
        <v>1334</v>
      </c>
      <c r="L1269" s="12" t="s">
        <v>1266</v>
      </c>
      <c r="M1269" s="12" t="s">
        <v>11</v>
      </c>
      <c r="N1269" s="15" t="s">
        <v>1267</v>
      </c>
      <c r="O1269" s="15" t="s">
        <v>15</v>
      </c>
      <c r="P1269" s="12" t="s">
        <v>16</v>
      </c>
      <c r="Q1269" s="16">
        <v>2958465</v>
      </c>
    </row>
    <row r="1270" spans="1:17">
      <c r="A1270" s="11">
        <f t="shared" si="19"/>
        <v>1269</v>
      </c>
      <c r="B1270" s="11">
        <v>8110010013</v>
      </c>
      <c r="C1270" s="25" t="s">
        <v>259</v>
      </c>
      <c r="D1270" s="27">
        <v>49827</v>
      </c>
      <c r="E1270" s="11">
        <v>0.66</v>
      </c>
      <c r="F1270" s="11" t="s">
        <v>11</v>
      </c>
      <c r="G1270" s="44">
        <v>32886</v>
      </c>
      <c r="H1270" s="28">
        <v>29627.027027027023</v>
      </c>
      <c r="I1270" s="19" t="s">
        <v>253</v>
      </c>
      <c r="J1270" s="19" t="s">
        <v>254</v>
      </c>
      <c r="K1270" s="32" t="s">
        <v>255</v>
      </c>
      <c r="L1270" s="22"/>
      <c r="M1270" s="22"/>
      <c r="N1270" s="22"/>
      <c r="O1270" s="20" t="s">
        <v>15</v>
      </c>
      <c r="P1270" s="25" t="s">
        <v>16</v>
      </c>
      <c r="Q1270" s="16">
        <v>2958465</v>
      </c>
    </row>
    <row r="1271" spans="1:17">
      <c r="A1271" s="11">
        <f t="shared" si="19"/>
        <v>1270</v>
      </c>
      <c r="B1271" s="12">
        <v>8110010014</v>
      </c>
      <c r="C1271" s="30" t="s">
        <v>1342</v>
      </c>
      <c r="D1271" s="30"/>
      <c r="E1271" s="30"/>
      <c r="F1271" s="30"/>
      <c r="G1271" s="43">
        <v>31724</v>
      </c>
      <c r="H1271" s="31">
        <v>28580.180180180178</v>
      </c>
      <c r="I1271" s="13" t="s">
        <v>253</v>
      </c>
      <c r="J1271" s="13" t="s">
        <v>254</v>
      </c>
      <c r="K1271" s="14" t="s">
        <v>1334</v>
      </c>
      <c r="L1271" s="12" t="s">
        <v>1266</v>
      </c>
      <c r="M1271" s="12" t="s">
        <v>11</v>
      </c>
      <c r="N1271" s="15" t="s">
        <v>1267</v>
      </c>
      <c r="O1271" s="15" t="s">
        <v>15</v>
      </c>
      <c r="P1271" s="12" t="s">
        <v>16</v>
      </c>
      <c r="Q1271" s="16">
        <v>2958465</v>
      </c>
    </row>
    <row r="1272" spans="1:17">
      <c r="A1272" s="11">
        <f t="shared" si="19"/>
        <v>1271</v>
      </c>
      <c r="B1272" s="12">
        <v>8110010076</v>
      </c>
      <c r="C1272" s="30" t="s">
        <v>1343</v>
      </c>
      <c r="D1272" s="30"/>
      <c r="E1272" s="30"/>
      <c r="F1272" s="30"/>
      <c r="G1272" s="43">
        <v>63830</v>
      </c>
      <c r="H1272" s="31">
        <v>57504.504504504497</v>
      </c>
      <c r="I1272" s="13" t="s">
        <v>253</v>
      </c>
      <c r="J1272" s="13" t="s">
        <v>254</v>
      </c>
      <c r="K1272" s="14" t="s">
        <v>1334</v>
      </c>
      <c r="L1272" s="12" t="s">
        <v>1266</v>
      </c>
      <c r="M1272" s="12" t="s">
        <v>11</v>
      </c>
      <c r="N1272" s="15" t="s">
        <v>1267</v>
      </c>
      <c r="O1272" s="15" t="s">
        <v>15</v>
      </c>
      <c r="P1272" s="12" t="s">
        <v>16</v>
      </c>
      <c r="Q1272" s="16">
        <v>2958465</v>
      </c>
    </row>
    <row r="1273" spans="1:17">
      <c r="A1273" s="11">
        <f t="shared" si="19"/>
        <v>1272</v>
      </c>
      <c r="B1273" s="11">
        <v>8110010084</v>
      </c>
      <c r="C1273" s="25" t="s">
        <v>262</v>
      </c>
      <c r="D1273" s="27">
        <v>156568</v>
      </c>
      <c r="E1273" s="11">
        <v>0.66</v>
      </c>
      <c r="F1273" s="11" t="s">
        <v>11</v>
      </c>
      <c r="G1273" s="44">
        <v>103335</v>
      </c>
      <c r="H1273" s="28">
        <v>93094.594594594586</v>
      </c>
      <c r="I1273" s="19" t="s">
        <v>253</v>
      </c>
      <c r="J1273" s="19" t="s">
        <v>254</v>
      </c>
      <c r="K1273" s="32" t="s">
        <v>255</v>
      </c>
      <c r="L1273" s="22"/>
      <c r="M1273" s="22"/>
      <c r="N1273" s="22"/>
      <c r="O1273" s="20" t="s">
        <v>15</v>
      </c>
      <c r="P1273" s="25" t="s">
        <v>16</v>
      </c>
      <c r="Q1273" s="16">
        <v>2958465</v>
      </c>
    </row>
    <row r="1274" spans="1:17">
      <c r="A1274" s="11">
        <f t="shared" si="19"/>
        <v>1273</v>
      </c>
      <c r="B1274" s="12">
        <v>8110010107</v>
      </c>
      <c r="C1274" s="30" t="s">
        <v>1344</v>
      </c>
      <c r="D1274" s="30"/>
      <c r="E1274" s="30"/>
      <c r="F1274" s="30"/>
      <c r="G1274" s="43">
        <v>3294</v>
      </c>
      <c r="H1274" s="31">
        <v>2967.5675675675675</v>
      </c>
      <c r="I1274" s="13" t="s">
        <v>253</v>
      </c>
      <c r="J1274" s="13" t="s">
        <v>254</v>
      </c>
      <c r="K1274" s="14" t="s">
        <v>1334</v>
      </c>
      <c r="L1274" s="12" t="s">
        <v>1266</v>
      </c>
      <c r="M1274" s="12" t="s">
        <v>11</v>
      </c>
      <c r="N1274" s="15" t="s">
        <v>1267</v>
      </c>
      <c r="O1274" s="15" t="s">
        <v>15</v>
      </c>
      <c r="P1274" s="12" t="s">
        <v>16</v>
      </c>
      <c r="Q1274" s="16">
        <v>2958465</v>
      </c>
    </row>
    <row r="1275" spans="1:17">
      <c r="A1275" s="11">
        <f t="shared" si="19"/>
        <v>1274</v>
      </c>
      <c r="B1275" s="12">
        <v>8110010108</v>
      </c>
      <c r="C1275" s="30" t="s">
        <v>1345</v>
      </c>
      <c r="D1275" s="30"/>
      <c r="E1275" s="30"/>
      <c r="F1275" s="30"/>
      <c r="G1275" s="43">
        <v>3409</v>
      </c>
      <c r="H1275" s="31">
        <v>3071.171171171171</v>
      </c>
      <c r="I1275" s="13" t="s">
        <v>253</v>
      </c>
      <c r="J1275" s="13" t="s">
        <v>254</v>
      </c>
      <c r="K1275" s="14" t="s">
        <v>1334</v>
      </c>
      <c r="L1275" s="12" t="s">
        <v>1266</v>
      </c>
      <c r="M1275" s="12" t="s">
        <v>11</v>
      </c>
      <c r="N1275" s="15" t="s">
        <v>1267</v>
      </c>
      <c r="O1275" s="15" t="s">
        <v>15</v>
      </c>
      <c r="P1275" s="12" t="s">
        <v>16</v>
      </c>
      <c r="Q1275" s="16">
        <v>2958465</v>
      </c>
    </row>
    <row r="1276" spans="1:17">
      <c r="A1276" s="11">
        <f t="shared" si="19"/>
        <v>1275</v>
      </c>
      <c r="B1276" s="11">
        <v>8110010109</v>
      </c>
      <c r="C1276" s="25" t="s">
        <v>263</v>
      </c>
      <c r="D1276" s="27">
        <v>83059</v>
      </c>
      <c r="E1276" s="11">
        <v>0.66</v>
      </c>
      <c r="F1276" s="11" t="s">
        <v>11</v>
      </c>
      <c r="G1276" s="44">
        <v>54819</v>
      </c>
      <c r="H1276" s="28">
        <v>49386.486486486479</v>
      </c>
      <c r="I1276" s="19" t="s">
        <v>253</v>
      </c>
      <c r="J1276" s="19" t="s">
        <v>254</v>
      </c>
      <c r="K1276" s="32" t="s">
        <v>255</v>
      </c>
      <c r="L1276" s="22"/>
      <c r="M1276" s="22"/>
      <c r="N1276" s="22"/>
      <c r="O1276" s="20" t="s">
        <v>15</v>
      </c>
      <c r="P1276" s="25" t="s">
        <v>16</v>
      </c>
      <c r="Q1276" s="16">
        <v>2958465</v>
      </c>
    </row>
    <row r="1277" spans="1:17">
      <c r="A1277" s="11">
        <f t="shared" si="19"/>
        <v>1276</v>
      </c>
      <c r="B1277" s="11">
        <v>8110010110</v>
      </c>
      <c r="C1277" s="25" t="s">
        <v>260</v>
      </c>
      <c r="D1277" s="27">
        <v>89286</v>
      </c>
      <c r="E1277" s="11">
        <v>0.66</v>
      </c>
      <c r="F1277" s="11" t="s">
        <v>11</v>
      </c>
      <c r="G1277" s="44">
        <v>58929</v>
      </c>
      <c r="H1277" s="28">
        <v>53089.189189189186</v>
      </c>
      <c r="I1277" s="19" t="s">
        <v>253</v>
      </c>
      <c r="J1277" s="19" t="s">
        <v>254</v>
      </c>
      <c r="K1277" s="32" t="s">
        <v>255</v>
      </c>
      <c r="L1277" s="22"/>
      <c r="M1277" s="22"/>
      <c r="N1277" s="22"/>
      <c r="O1277" s="20" t="s">
        <v>15</v>
      </c>
      <c r="P1277" s="25" t="s">
        <v>16</v>
      </c>
      <c r="Q1277" s="16">
        <v>2958465</v>
      </c>
    </row>
    <row r="1278" spans="1:17">
      <c r="A1278" s="11">
        <f t="shared" si="19"/>
        <v>1277</v>
      </c>
      <c r="B1278" s="12">
        <v>8110010127</v>
      </c>
      <c r="C1278" s="30" t="s">
        <v>1346</v>
      </c>
      <c r="D1278" s="30"/>
      <c r="E1278" s="30"/>
      <c r="F1278" s="30"/>
      <c r="G1278" s="43">
        <v>4529</v>
      </c>
      <c r="H1278" s="31">
        <v>4080.1801801801798</v>
      </c>
      <c r="I1278" s="13" t="s">
        <v>253</v>
      </c>
      <c r="J1278" s="13" t="s">
        <v>254</v>
      </c>
      <c r="K1278" s="14" t="s">
        <v>1334</v>
      </c>
      <c r="L1278" s="12" t="s">
        <v>1266</v>
      </c>
      <c r="M1278" s="12" t="s">
        <v>11</v>
      </c>
      <c r="N1278" s="15" t="s">
        <v>1267</v>
      </c>
      <c r="O1278" s="15" t="s">
        <v>15</v>
      </c>
      <c r="P1278" s="12" t="s">
        <v>16</v>
      </c>
      <c r="Q1278" s="16">
        <v>2958465</v>
      </c>
    </row>
    <row r="1279" spans="1:17">
      <c r="A1279" s="11">
        <f t="shared" si="19"/>
        <v>1278</v>
      </c>
      <c r="B1279" s="12">
        <v>8110010128</v>
      </c>
      <c r="C1279" s="30" t="s">
        <v>1347</v>
      </c>
      <c r="D1279" s="30"/>
      <c r="E1279" s="30"/>
      <c r="F1279" s="30"/>
      <c r="G1279" s="43">
        <v>4757</v>
      </c>
      <c r="H1279" s="31">
        <v>4285.5855855855852</v>
      </c>
      <c r="I1279" s="13" t="s">
        <v>253</v>
      </c>
      <c r="J1279" s="13" t="s">
        <v>254</v>
      </c>
      <c r="K1279" s="14" t="s">
        <v>1334</v>
      </c>
      <c r="L1279" s="12" t="s">
        <v>1266</v>
      </c>
      <c r="M1279" s="12" t="s">
        <v>11</v>
      </c>
      <c r="N1279" s="15" t="s">
        <v>1267</v>
      </c>
      <c r="O1279" s="15" t="s">
        <v>15</v>
      </c>
      <c r="P1279" s="12" t="s">
        <v>16</v>
      </c>
      <c r="Q1279" s="16">
        <v>2958465</v>
      </c>
    </row>
    <row r="1280" spans="1:17">
      <c r="A1280" s="11">
        <f t="shared" si="19"/>
        <v>1279</v>
      </c>
      <c r="B1280" s="12">
        <v>8110010129</v>
      </c>
      <c r="C1280" s="30" t="s">
        <v>1348</v>
      </c>
      <c r="D1280" s="30"/>
      <c r="E1280" s="30"/>
      <c r="F1280" s="30"/>
      <c r="G1280" s="43">
        <v>4278</v>
      </c>
      <c r="H1280" s="31">
        <v>3854.0540540540537</v>
      </c>
      <c r="I1280" s="13" t="s">
        <v>253</v>
      </c>
      <c r="J1280" s="13" t="s">
        <v>254</v>
      </c>
      <c r="K1280" s="14" t="s">
        <v>1334</v>
      </c>
      <c r="L1280" s="12" t="s">
        <v>1266</v>
      </c>
      <c r="M1280" s="12" t="s">
        <v>11</v>
      </c>
      <c r="N1280" s="15" t="s">
        <v>1267</v>
      </c>
      <c r="O1280" s="15" t="s">
        <v>15</v>
      </c>
      <c r="P1280" s="12" t="s">
        <v>16</v>
      </c>
      <c r="Q1280" s="16">
        <v>2958465</v>
      </c>
    </row>
    <row r="1281" spans="1:17">
      <c r="A1281" s="11">
        <f t="shared" si="19"/>
        <v>1280</v>
      </c>
      <c r="B1281" s="12">
        <v>8110010130</v>
      </c>
      <c r="C1281" s="30" t="s">
        <v>1349</v>
      </c>
      <c r="D1281" s="30"/>
      <c r="E1281" s="30"/>
      <c r="F1281" s="30"/>
      <c r="G1281" s="43">
        <v>4598</v>
      </c>
      <c r="H1281" s="31">
        <v>4142.3423423423419</v>
      </c>
      <c r="I1281" s="13" t="s">
        <v>253</v>
      </c>
      <c r="J1281" s="13" t="s">
        <v>254</v>
      </c>
      <c r="K1281" s="14" t="s">
        <v>1334</v>
      </c>
      <c r="L1281" s="12" t="s">
        <v>1266</v>
      </c>
      <c r="M1281" s="12" t="s">
        <v>11</v>
      </c>
      <c r="N1281" s="15" t="s">
        <v>1267</v>
      </c>
      <c r="O1281" s="15" t="s">
        <v>15</v>
      </c>
      <c r="P1281" s="12" t="s">
        <v>16</v>
      </c>
      <c r="Q1281" s="16">
        <v>2958465</v>
      </c>
    </row>
    <row r="1282" spans="1:17">
      <c r="A1282" s="11">
        <f t="shared" si="19"/>
        <v>1281</v>
      </c>
      <c r="B1282" s="12">
        <v>8110010131</v>
      </c>
      <c r="C1282" s="30" t="s">
        <v>1350</v>
      </c>
      <c r="D1282" s="30"/>
      <c r="E1282" s="30"/>
      <c r="F1282" s="30"/>
      <c r="G1282" s="43">
        <v>4689</v>
      </c>
      <c r="H1282" s="31">
        <v>4225</v>
      </c>
      <c r="I1282" s="13" t="s">
        <v>253</v>
      </c>
      <c r="J1282" s="13" t="s">
        <v>254</v>
      </c>
      <c r="K1282" s="14" t="s">
        <v>1334</v>
      </c>
      <c r="L1282" s="12" t="s">
        <v>1266</v>
      </c>
      <c r="M1282" s="12" t="s">
        <v>11</v>
      </c>
      <c r="N1282" s="15" t="s">
        <v>1267</v>
      </c>
      <c r="O1282" s="15" t="s">
        <v>15</v>
      </c>
      <c r="P1282" s="12" t="s">
        <v>16</v>
      </c>
      <c r="Q1282" s="16">
        <v>2958465</v>
      </c>
    </row>
    <row r="1283" spans="1:17">
      <c r="A1283" s="11">
        <f t="shared" si="19"/>
        <v>1282</v>
      </c>
      <c r="B1283" s="12">
        <v>8110010133</v>
      </c>
      <c r="C1283" s="30" t="s">
        <v>1351</v>
      </c>
      <c r="D1283" s="30"/>
      <c r="E1283" s="30"/>
      <c r="F1283" s="30"/>
      <c r="G1283" s="43">
        <v>3934</v>
      </c>
      <c r="H1283" s="31">
        <v>3544.1441441441439</v>
      </c>
      <c r="I1283" s="13" t="s">
        <v>253</v>
      </c>
      <c r="J1283" s="13" t="s">
        <v>254</v>
      </c>
      <c r="K1283" s="14" t="s">
        <v>1334</v>
      </c>
      <c r="L1283" s="12" t="s">
        <v>1266</v>
      </c>
      <c r="M1283" s="12" t="s">
        <v>11</v>
      </c>
      <c r="N1283" s="15" t="s">
        <v>1267</v>
      </c>
      <c r="O1283" s="15" t="s">
        <v>15</v>
      </c>
      <c r="P1283" s="12" t="s">
        <v>16</v>
      </c>
      <c r="Q1283" s="16">
        <v>2958465</v>
      </c>
    </row>
    <row r="1284" spans="1:17">
      <c r="A1284" s="11">
        <f t="shared" si="19"/>
        <v>1283</v>
      </c>
      <c r="B1284" s="12">
        <v>8110010134</v>
      </c>
      <c r="C1284" s="30" t="s">
        <v>1352</v>
      </c>
      <c r="D1284" s="30"/>
      <c r="E1284" s="30"/>
      <c r="F1284" s="30"/>
      <c r="G1284" s="43">
        <v>4117</v>
      </c>
      <c r="H1284" s="31">
        <v>3709.0090090090089</v>
      </c>
      <c r="I1284" s="13" t="s">
        <v>253</v>
      </c>
      <c r="J1284" s="13" t="s">
        <v>254</v>
      </c>
      <c r="K1284" s="14" t="s">
        <v>1334</v>
      </c>
      <c r="L1284" s="12" t="s">
        <v>1266</v>
      </c>
      <c r="M1284" s="12" t="s">
        <v>11</v>
      </c>
      <c r="N1284" s="15" t="s">
        <v>1267</v>
      </c>
      <c r="O1284" s="15" t="s">
        <v>15</v>
      </c>
      <c r="P1284" s="12" t="s">
        <v>16</v>
      </c>
      <c r="Q1284" s="16">
        <v>2958465</v>
      </c>
    </row>
    <row r="1285" spans="1:17">
      <c r="A1285" s="11">
        <f t="shared" ref="A1285:A1348" si="20">ROW()-1</f>
        <v>1284</v>
      </c>
      <c r="B1285" s="12">
        <v>8110010136</v>
      </c>
      <c r="C1285" s="30" t="s">
        <v>1353</v>
      </c>
      <c r="D1285" s="30"/>
      <c r="E1285" s="30"/>
      <c r="F1285" s="30"/>
      <c r="G1285" s="43">
        <v>4209</v>
      </c>
      <c r="H1285" s="31">
        <v>3791.8918918918916</v>
      </c>
      <c r="I1285" s="13" t="s">
        <v>253</v>
      </c>
      <c r="J1285" s="13" t="s">
        <v>254</v>
      </c>
      <c r="K1285" s="14" t="s">
        <v>1334</v>
      </c>
      <c r="L1285" s="12" t="s">
        <v>1266</v>
      </c>
      <c r="M1285" s="12" t="s">
        <v>11</v>
      </c>
      <c r="N1285" s="15" t="s">
        <v>1267</v>
      </c>
      <c r="O1285" s="15" t="s">
        <v>15</v>
      </c>
      <c r="P1285" s="12" t="s">
        <v>16</v>
      </c>
      <c r="Q1285" s="16">
        <v>2958465</v>
      </c>
    </row>
    <row r="1286" spans="1:17">
      <c r="A1286" s="11">
        <f t="shared" si="20"/>
        <v>1285</v>
      </c>
      <c r="B1286" s="12">
        <v>8110010185</v>
      </c>
      <c r="C1286" s="30" t="s">
        <v>1354</v>
      </c>
      <c r="D1286" s="30"/>
      <c r="E1286" s="30"/>
      <c r="F1286" s="30"/>
      <c r="G1286" s="43">
        <v>3248</v>
      </c>
      <c r="H1286" s="31">
        <v>2926.1261261261257</v>
      </c>
      <c r="I1286" s="13" t="s">
        <v>253</v>
      </c>
      <c r="J1286" s="13" t="s">
        <v>254</v>
      </c>
      <c r="K1286" s="14" t="s">
        <v>1334</v>
      </c>
      <c r="L1286" s="12" t="s">
        <v>1266</v>
      </c>
      <c r="M1286" s="12" t="s">
        <v>11</v>
      </c>
      <c r="N1286" s="15" t="s">
        <v>1267</v>
      </c>
      <c r="O1286" s="15" t="s">
        <v>15</v>
      </c>
      <c r="P1286" s="12" t="s">
        <v>16</v>
      </c>
      <c r="Q1286" s="16">
        <v>2958465</v>
      </c>
    </row>
    <row r="1287" spans="1:17">
      <c r="A1287" s="11">
        <f t="shared" si="20"/>
        <v>1286</v>
      </c>
      <c r="B1287" s="12">
        <v>8110010448</v>
      </c>
      <c r="C1287" s="30" t="s">
        <v>1355</v>
      </c>
      <c r="D1287" s="30"/>
      <c r="E1287" s="30"/>
      <c r="F1287" s="30"/>
      <c r="G1287" s="43">
        <v>12512</v>
      </c>
      <c r="H1287" s="31">
        <v>11272.072072072071</v>
      </c>
      <c r="I1287" s="13" t="s">
        <v>253</v>
      </c>
      <c r="J1287" s="13" t="s">
        <v>254</v>
      </c>
      <c r="K1287" s="14" t="s">
        <v>1334</v>
      </c>
      <c r="L1287" s="12" t="s">
        <v>1266</v>
      </c>
      <c r="M1287" s="12" t="s">
        <v>11</v>
      </c>
      <c r="N1287" s="15" t="s">
        <v>1267</v>
      </c>
      <c r="O1287" s="15" t="s">
        <v>15</v>
      </c>
      <c r="P1287" s="12" t="s">
        <v>16</v>
      </c>
      <c r="Q1287" s="16">
        <v>2958465</v>
      </c>
    </row>
    <row r="1288" spans="1:17">
      <c r="A1288" s="11">
        <f t="shared" si="20"/>
        <v>1287</v>
      </c>
      <c r="B1288" s="12">
        <v>8110010450</v>
      </c>
      <c r="C1288" s="30" t="s">
        <v>1356</v>
      </c>
      <c r="D1288" s="30"/>
      <c r="E1288" s="30"/>
      <c r="F1288" s="30"/>
      <c r="G1288" s="43">
        <v>13266</v>
      </c>
      <c r="H1288" s="31">
        <v>11951.35135135135</v>
      </c>
      <c r="I1288" s="13" t="s">
        <v>253</v>
      </c>
      <c r="J1288" s="13" t="s">
        <v>254</v>
      </c>
      <c r="K1288" s="14" t="s">
        <v>1334</v>
      </c>
      <c r="L1288" s="12" t="s">
        <v>1266</v>
      </c>
      <c r="M1288" s="12" t="s">
        <v>11</v>
      </c>
      <c r="N1288" s="15" t="s">
        <v>1267</v>
      </c>
      <c r="O1288" s="15" t="s">
        <v>15</v>
      </c>
      <c r="P1288" s="12" t="s">
        <v>16</v>
      </c>
      <c r="Q1288" s="16">
        <v>2958465</v>
      </c>
    </row>
    <row r="1289" spans="1:17">
      <c r="A1289" s="11">
        <f t="shared" si="20"/>
        <v>1288</v>
      </c>
      <c r="B1289" s="12">
        <v>8110010755</v>
      </c>
      <c r="C1289" s="30" t="s">
        <v>1357</v>
      </c>
      <c r="D1289" s="30"/>
      <c r="E1289" s="30"/>
      <c r="F1289" s="30"/>
      <c r="G1289" s="43">
        <v>6724</v>
      </c>
      <c r="H1289" s="31">
        <v>6057.6576576576572</v>
      </c>
      <c r="I1289" s="13" t="s">
        <v>253</v>
      </c>
      <c r="J1289" s="13" t="s">
        <v>254</v>
      </c>
      <c r="K1289" s="14" t="s">
        <v>1334</v>
      </c>
      <c r="L1289" s="12" t="s">
        <v>1266</v>
      </c>
      <c r="M1289" s="12" t="s">
        <v>11</v>
      </c>
      <c r="N1289" s="15" t="s">
        <v>1267</v>
      </c>
      <c r="O1289" s="15" t="s">
        <v>15</v>
      </c>
      <c r="P1289" s="12" t="s">
        <v>16</v>
      </c>
      <c r="Q1289" s="16">
        <v>2958465</v>
      </c>
    </row>
    <row r="1290" spans="1:17">
      <c r="A1290" s="11">
        <f t="shared" si="20"/>
        <v>1289</v>
      </c>
      <c r="B1290" s="12">
        <v>8110010796</v>
      </c>
      <c r="C1290" s="30" t="s">
        <v>1358</v>
      </c>
      <c r="D1290" s="30"/>
      <c r="E1290" s="30"/>
      <c r="F1290" s="30"/>
      <c r="G1290" s="43">
        <v>11643</v>
      </c>
      <c r="H1290" s="31">
        <v>10489.189189189188</v>
      </c>
      <c r="I1290" s="13" t="s">
        <v>253</v>
      </c>
      <c r="J1290" s="13" t="s">
        <v>254</v>
      </c>
      <c r="K1290" s="14" t="s">
        <v>1334</v>
      </c>
      <c r="L1290" s="12" t="s">
        <v>1266</v>
      </c>
      <c r="M1290" s="12" t="s">
        <v>11</v>
      </c>
      <c r="N1290" s="15" t="s">
        <v>1267</v>
      </c>
      <c r="O1290" s="15" t="s">
        <v>15</v>
      </c>
      <c r="P1290" s="12" t="s">
        <v>16</v>
      </c>
      <c r="Q1290" s="16">
        <v>2958465</v>
      </c>
    </row>
    <row r="1291" spans="1:17">
      <c r="A1291" s="11">
        <f t="shared" si="20"/>
        <v>1290</v>
      </c>
      <c r="B1291" s="12">
        <v>8110010810</v>
      </c>
      <c r="C1291" s="30" t="s">
        <v>1359</v>
      </c>
      <c r="D1291" s="30"/>
      <c r="E1291" s="30"/>
      <c r="F1291" s="30"/>
      <c r="G1291" s="43">
        <v>12534</v>
      </c>
      <c r="H1291" s="31">
        <v>11291.891891891892</v>
      </c>
      <c r="I1291" s="13" t="s">
        <v>253</v>
      </c>
      <c r="J1291" s="13" t="s">
        <v>254</v>
      </c>
      <c r="K1291" s="14" t="s">
        <v>1334</v>
      </c>
      <c r="L1291" s="12" t="s">
        <v>1266</v>
      </c>
      <c r="M1291" s="12" t="s">
        <v>11</v>
      </c>
      <c r="N1291" s="15" t="s">
        <v>1267</v>
      </c>
      <c r="O1291" s="15" t="s">
        <v>15</v>
      </c>
      <c r="P1291" s="12" t="s">
        <v>16</v>
      </c>
      <c r="Q1291" s="16">
        <v>2958465</v>
      </c>
    </row>
    <row r="1292" spans="1:17">
      <c r="A1292" s="11">
        <f t="shared" si="20"/>
        <v>1291</v>
      </c>
      <c r="B1292" s="12">
        <v>8110010811</v>
      </c>
      <c r="C1292" s="30" t="s">
        <v>1360</v>
      </c>
      <c r="D1292" s="30"/>
      <c r="E1292" s="30"/>
      <c r="F1292" s="30"/>
      <c r="G1292" s="43">
        <v>3888</v>
      </c>
      <c r="H1292" s="31">
        <v>3502.7027027027025</v>
      </c>
      <c r="I1292" s="13" t="s">
        <v>253</v>
      </c>
      <c r="J1292" s="13" t="s">
        <v>254</v>
      </c>
      <c r="K1292" s="14" t="s">
        <v>1334</v>
      </c>
      <c r="L1292" s="12" t="s">
        <v>1266</v>
      </c>
      <c r="M1292" s="12" t="s">
        <v>11</v>
      </c>
      <c r="N1292" s="15" t="s">
        <v>1267</v>
      </c>
      <c r="O1292" s="15" t="s">
        <v>15</v>
      </c>
      <c r="P1292" s="12" t="s">
        <v>16</v>
      </c>
      <c r="Q1292" s="16">
        <v>2958465</v>
      </c>
    </row>
    <row r="1293" spans="1:17">
      <c r="A1293" s="11">
        <f t="shared" si="20"/>
        <v>1292</v>
      </c>
      <c r="B1293" s="12">
        <v>8110010815</v>
      </c>
      <c r="C1293" s="30" t="s">
        <v>1361</v>
      </c>
      <c r="D1293" s="30"/>
      <c r="E1293" s="30"/>
      <c r="F1293" s="30"/>
      <c r="G1293" s="43">
        <v>4781</v>
      </c>
      <c r="H1293" s="31">
        <v>4307.2072072072069</v>
      </c>
      <c r="I1293" s="13" t="s">
        <v>253</v>
      </c>
      <c r="J1293" s="13" t="s">
        <v>254</v>
      </c>
      <c r="K1293" s="14" t="s">
        <v>1334</v>
      </c>
      <c r="L1293" s="12" t="s">
        <v>1266</v>
      </c>
      <c r="M1293" s="12" t="s">
        <v>11</v>
      </c>
      <c r="N1293" s="15" t="s">
        <v>1267</v>
      </c>
      <c r="O1293" s="15" t="s">
        <v>15</v>
      </c>
      <c r="P1293" s="12" t="s">
        <v>16</v>
      </c>
      <c r="Q1293" s="16">
        <v>2958465</v>
      </c>
    </row>
    <row r="1294" spans="1:17">
      <c r="A1294" s="11">
        <f t="shared" si="20"/>
        <v>1293</v>
      </c>
      <c r="B1294" s="12">
        <v>8110010817</v>
      </c>
      <c r="C1294" s="30" t="s">
        <v>1362</v>
      </c>
      <c r="D1294" s="30"/>
      <c r="E1294" s="30"/>
      <c r="F1294" s="30"/>
      <c r="G1294" s="43">
        <v>4849</v>
      </c>
      <c r="H1294" s="31">
        <v>4368.468468468468</v>
      </c>
      <c r="I1294" s="13" t="s">
        <v>253</v>
      </c>
      <c r="J1294" s="13" t="s">
        <v>254</v>
      </c>
      <c r="K1294" s="14" t="s">
        <v>1334</v>
      </c>
      <c r="L1294" s="12" t="s">
        <v>1266</v>
      </c>
      <c r="M1294" s="12" t="s">
        <v>11</v>
      </c>
      <c r="N1294" s="15" t="s">
        <v>1267</v>
      </c>
      <c r="O1294" s="15" t="s">
        <v>15</v>
      </c>
      <c r="P1294" s="12" t="s">
        <v>16</v>
      </c>
      <c r="Q1294" s="16">
        <v>2958465</v>
      </c>
    </row>
    <row r="1295" spans="1:17">
      <c r="A1295" s="11">
        <f t="shared" si="20"/>
        <v>1294</v>
      </c>
      <c r="B1295" s="11">
        <v>8110010819</v>
      </c>
      <c r="C1295" s="25" t="s">
        <v>261</v>
      </c>
      <c r="D1295" s="27">
        <v>73920</v>
      </c>
      <c r="E1295" s="11">
        <v>0.66</v>
      </c>
      <c r="F1295" s="11" t="s">
        <v>11</v>
      </c>
      <c r="G1295" s="44">
        <v>48787</v>
      </c>
      <c r="H1295" s="28">
        <v>43952.252252252249</v>
      </c>
      <c r="I1295" s="19" t="s">
        <v>253</v>
      </c>
      <c r="J1295" s="19" t="s">
        <v>254</v>
      </c>
      <c r="K1295" s="32" t="s">
        <v>255</v>
      </c>
      <c r="L1295" s="22"/>
      <c r="M1295" s="22"/>
      <c r="N1295" s="22"/>
      <c r="O1295" s="20" t="s">
        <v>15</v>
      </c>
      <c r="P1295" s="25" t="s">
        <v>16</v>
      </c>
      <c r="Q1295" s="16">
        <v>2958465</v>
      </c>
    </row>
    <row r="1296" spans="1:17">
      <c r="A1296" s="11">
        <f t="shared" si="20"/>
        <v>1295</v>
      </c>
      <c r="B1296" s="12">
        <v>8110010845</v>
      </c>
      <c r="C1296" s="30" t="s">
        <v>1363</v>
      </c>
      <c r="D1296" s="30"/>
      <c r="E1296" s="30"/>
      <c r="F1296" s="30"/>
      <c r="G1296" s="43">
        <v>12580</v>
      </c>
      <c r="H1296" s="31">
        <v>11333.333333333332</v>
      </c>
      <c r="I1296" s="13" t="s">
        <v>253</v>
      </c>
      <c r="J1296" s="13" t="s">
        <v>254</v>
      </c>
      <c r="K1296" s="14" t="s">
        <v>1334</v>
      </c>
      <c r="L1296" s="12" t="s">
        <v>1266</v>
      </c>
      <c r="M1296" s="12" t="s">
        <v>11</v>
      </c>
      <c r="N1296" s="15" t="s">
        <v>1267</v>
      </c>
      <c r="O1296" s="15" t="s">
        <v>15</v>
      </c>
      <c r="P1296" s="12" t="s">
        <v>16</v>
      </c>
      <c r="Q1296" s="16">
        <v>2958465</v>
      </c>
    </row>
    <row r="1297" spans="1:17">
      <c r="A1297" s="11">
        <f t="shared" si="20"/>
        <v>1296</v>
      </c>
      <c r="B1297" s="12">
        <v>8110010906</v>
      </c>
      <c r="C1297" s="30" t="s">
        <v>1394</v>
      </c>
      <c r="D1297" s="30"/>
      <c r="E1297" s="30"/>
      <c r="F1297" s="30"/>
      <c r="G1297" s="43">
        <v>6405</v>
      </c>
      <c r="H1297" s="31">
        <v>5770.27027027027</v>
      </c>
      <c r="I1297" s="13" t="s">
        <v>253</v>
      </c>
      <c r="J1297" s="13" t="s">
        <v>254</v>
      </c>
      <c r="K1297" s="14"/>
      <c r="L1297" s="12" t="s">
        <v>1266</v>
      </c>
      <c r="M1297" s="12" t="s">
        <v>11</v>
      </c>
      <c r="N1297" s="15" t="s">
        <v>1267</v>
      </c>
      <c r="O1297" s="15" t="s">
        <v>15</v>
      </c>
      <c r="P1297" s="12" t="s">
        <v>1395</v>
      </c>
      <c r="Q1297" s="16">
        <v>2958465</v>
      </c>
    </row>
    <row r="1298" spans="1:17">
      <c r="A1298" s="11">
        <f t="shared" si="20"/>
        <v>1297</v>
      </c>
      <c r="B1298" s="11">
        <v>8130076913</v>
      </c>
      <c r="C1298" s="25" t="s">
        <v>348</v>
      </c>
      <c r="D1298" s="27">
        <v>531063.87</v>
      </c>
      <c r="E1298" s="11">
        <v>0.45</v>
      </c>
      <c r="F1298" s="11" t="s">
        <v>11</v>
      </c>
      <c r="G1298" s="44">
        <v>238979</v>
      </c>
      <c r="H1298" s="28">
        <v>215296.39639639639</v>
      </c>
      <c r="I1298" s="19" t="s">
        <v>332</v>
      </c>
      <c r="J1298" s="19" t="s">
        <v>333</v>
      </c>
      <c r="K1298" s="32" t="s">
        <v>334</v>
      </c>
      <c r="L1298" s="22"/>
      <c r="M1298" s="22"/>
      <c r="N1298" s="22"/>
      <c r="O1298" s="20" t="s">
        <v>15</v>
      </c>
      <c r="P1298" s="25" t="s">
        <v>16</v>
      </c>
      <c r="Q1298" s="16">
        <v>2958465</v>
      </c>
    </row>
    <row r="1299" spans="1:17">
      <c r="A1299" s="11">
        <f t="shared" si="20"/>
        <v>1298</v>
      </c>
      <c r="B1299" s="11">
        <v>8130076914</v>
      </c>
      <c r="C1299" s="25" t="s">
        <v>349</v>
      </c>
      <c r="D1299" s="27">
        <v>622086.16785714298</v>
      </c>
      <c r="E1299" s="11">
        <v>0.45</v>
      </c>
      <c r="F1299" s="11" t="s">
        <v>11</v>
      </c>
      <c r="G1299" s="44">
        <v>279939</v>
      </c>
      <c r="H1299" s="28">
        <v>252197.29729729728</v>
      </c>
      <c r="I1299" s="19" t="s">
        <v>332</v>
      </c>
      <c r="J1299" s="19" t="s">
        <v>333</v>
      </c>
      <c r="K1299" s="32" t="s">
        <v>350</v>
      </c>
      <c r="L1299" s="22"/>
      <c r="M1299" s="22"/>
      <c r="N1299" s="22"/>
      <c r="O1299" s="20" t="s">
        <v>15</v>
      </c>
      <c r="P1299" s="25" t="s">
        <v>16</v>
      </c>
      <c r="Q1299" s="16">
        <v>2958465</v>
      </c>
    </row>
    <row r="1300" spans="1:17">
      <c r="A1300" s="11">
        <f t="shared" si="20"/>
        <v>1299</v>
      </c>
      <c r="B1300" s="11">
        <v>8130076915</v>
      </c>
      <c r="C1300" s="25" t="s">
        <v>351</v>
      </c>
      <c r="D1300" s="27">
        <v>887316.70452380995</v>
      </c>
      <c r="E1300" s="11">
        <v>0.45</v>
      </c>
      <c r="F1300" s="11" t="s">
        <v>11</v>
      </c>
      <c r="G1300" s="44">
        <v>399293</v>
      </c>
      <c r="H1300" s="28">
        <v>359723.42342342337</v>
      </c>
      <c r="I1300" s="19" t="s">
        <v>332</v>
      </c>
      <c r="J1300" s="19" t="s">
        <v>333</v>
      </c>
      <c r="K1300" s="32" t="s">
        <v>334</v>
      </c>
      <c r="L1300" s="22"/>
      <c r="M1300" s="22"/>
      <c r="N1300" s="22"/>
      <c r="O1300" s="20" t="s">
        <v>15</v>
      </c>
      <c r="P1300" s="25" t="s">
        <v>16</v>
      </c>
      <c r="Q1300" s="16">
        <v>2958465</v>
      </c>
    </row>
    <row r="1301" spans="1:17">
      <c r="A1301" s="11">
        <f t="shared" si="20"/>
        <v>1300</v>
      </c>
      <c r="B1301" s="11">
        <v>8130076916</v>
      </c>
      <c r="C1301" s="25" t="s">
        <v>331</v>
      </c>
      <c r="D1301" s="27">
        <v>1084220.23809524</v>
      </c>
      <c r="E1301" s="11">
        <v>0.45</v>
      </c>
      <c r="F1301" s="11" t="s">
        <v>11</v>
      </c>
      <c r="G1301" s="44">
        <v>487899</v>
      </c>
      <c r="H1301" s="28">
        <v>439548.64864864858</v>
      </c>
      <c r="I1301" s="19" t="s">
        <v>332</v>
      </c>
      <c r="J1301" s="19" t="s">
        <v>333</v>
      </c>
      <c r="K1301" s="32" t="s">
        <v>334</v>
      </c>
      <c r="L1301" s="22"/>
      <c r="M1301" s="22"/>
      <c r="N1301" s="22"/>
      <c r="O1301" s="20" t="s">
        <v>15</v>
      </c>
      <c r="P1301" s="25" t="s">
        <v>16</v>
      </c>
      <c r="Q1301" s="16">
        <v>2958465</v>
      </c>
    </row>
    <row r="1302" spans="1:17">
      <c r="A1302" s="11">
        <f t="shared" si="20"/>
        <v>1301</v>
      </c>
      <c r="B1302" s="11">
        <v>8130076917</v>
      </c>
      <c r="C1302" s="25" t="s">
        <v>336</v>
      </c>
      <c r="D1302" s="27">
        <v>1668615.3845238099</v>
      </c>
      <c r="E1302" s="11">
        <v>0.45</v>
      </c>
      <c r="F1302" s="11" t="s">
        <v>11</v>
      </c>
      <c r="G1302" s="44">
        <v>750877</v>
      </c>
      <c r="H1302" s="28">
        <v>676465.76576576568</v>
      </c>
      <c r="I1302" s="19" t="s">
        <v>332</v>
      </c>
      <c r="J1302" s="19" t="s">
        <v>333</v>
      </c>
      <c r="K1302" s="32" t="s">
        <v>334</v>
      </c>
      <c r="L1302" s="22"/>
      <c r="M1302" s="22"/>
      <c r="N1302" s="22"/>
      <c r="O1302" s="20" t="s">
        <v>15</v>
      </c>
      <c r="P1302" s="25" t="s">
        <v>16</v>
      </c>
      <c r="Q1302" s="16">
        <v>2958465</v>
      </c>
    </row>
    <row r="1303" spans="1:17">
      <c r="A1303" s="11">
        <f t="shared" si="20"/>
        <v>1302</v>
      </c>
      <c r="B1303" s="11">
        <v>8130076920</v>
      </c>
      <c r="C1303" s="25" t="s">
        <v>335</v>
      </c>
      <c r="D1303" s="27">
        <v>1615253.96833333</v>
      </c>
      <c r="E1303" s="11">
        <v>0.45</v>
      </c>
      <c r="F1303" s="11" t="s">
        <v>11</v>
      </c>
      <c r="G1303" s="44">
        <v>726864</v>
      </c>
      <c r="H1303" s="28">
        <v>654832.43243243243</v>
      </c>
      <c r="I1303" s="19" t="s">
        <v>332</v>
      </c>
      <c r="J1303" s="19" t="s">
        <v>333</v>
      </c>
      <c r="K1303" s="32" t="s">
        <v>334</v>
      </c>
      <c r="L1303" s="22"/>
      <c r="M1303" s="22"/>
      <c r="N1303" s="22"/>
      <c r="O1303" s="20" t="s">
        <v>15</v>
      </c>
      <c r="P1303" s="25" t="s">
        <v>16</v>
      </c>
      <c r="Q1303" s="16">
        <v>2958465</v>
      </c>
    </row>
    <row r="1304" spans="1:17">
      <c r="A1304" s="11">
        <f t="shared" si="20"/>
        <v>1303</v>
      </c>
      <c r="B1304" s="11">
        <v>8130076921</v>
      </c>
      <c r="C1304" s="25" t="s">
        <v>337</v>
      </c>
      <c r="D1304" s="27">
        <v>2343423.0769047602</v>
      </c>
      <c r="E1304" s="11">
        <v>0.45</v>
      </c>
      <c r="F1304" s="11" t="s">
        <v>11</v>
      </c>
      <c r="G1304" s="44">
        <v>1054540</v>
      </c>
      <c r="H1304" s="28">
        <v>950036.03603603598</v>
      </c>
      <c r="I1304" s="19" t="s">
        <v>332</v>
      </c>
      <c r="J1304" s="19" t="s">
        <v>333</v>
      </c>
      <c r="K1304" s="32" t="s">
        <v>334</v>
      </c>
      <c r="L1304" s="22"/>
      <c r="M1304" s="22"/>
      <c r="N1304" s="22"/>
      <c r="O1304" s="20" t="s">
        <v>15</v>
      </c>
      <c r="P1304" s="25" t="s">
        <v>16</v>
      </c>
      <c r="Q1304" s="16">
        <v>2958465</v>
      </c>
    </row>
    <row r="1305" spans="1:17">
      <c r="A1305" s="11">
        <f t="shared" si="20"/>
        <v>1304</v>
      </c>
      <c r="B1305" s="11">
        <v>8130076926</v>
      </c>
      <c r="C1305" s="25" t="s">
        <v>362</v>
      </c>
      <c r="D1305" s="27">
        <v>4324222.2214285703</v>
      </c>
      <c r="E1305" s="11">
        <v>0.45</v>
      </c>
      <c r="F1305" s="11" t="s">
        <v>11</v>
      </c>
      <c r="G1305" s="44">
        <v>1945900</v>
      </c>
      <c r="H1305" s="28">
        <v>1753063.063063063</v>
      </c>
      <c r="I1305" s="19" t="s">
        <v>332</v>
      </c>
      <c r="J1305" s="19" t="s">
        <v>333</v>
      </c>
      <c r="K1305" s="32" t="s">
        <v>334</v>
      </c>
      <c r="L1305" s="22"/>
      <c r="M1305" s="22"/>
      <c r="N1305" s="22"/>
      <c r="O1305" s="20" t="s">
        <v>15</v>
      </c>
      <c r="P1305" s="25" t="s">
        <v>16</v>
      </c>
      <c r="Q1305" s="16">
        <v>2958465</v>
      </c>
    </row>
    <row r="1306" spans="1:17">
      <c r="A1306" s="11">
        <f t="shared" si="20"/>
        <v>1305</v>
      </c>
      <c r="B1306" s="11">
        <v>8130076927</v>
      </c>
      <c r="C1306" s="25" t="s">
        <v>338</v>
      </c>
      <c r="D1306" s="27">
        <v>2410081.5690476201</v>
      </c>
      <c r="E1306" s="11">
        <v>0.45</v>
      </c>
      <c r="F1306" s="11" t="s">
        <v>11</v>
      </c>
      <c r="G1306" s="44">
        <v>1084537</v>
      </c>
      <c r="H1306" s="28">
        <v>977060.36036036024</v>
      </c>
      <c r="I1306" s="19" t="s">
        <v>332</v>
      </c>
      <c r="J1306" s="19" t="s">
        <v>333</v>
      </c>
      <c r="K1306" s="32" t="s">
        <v>334</v>
      </c>
      <c r="L1306" s="22"/>
      <c r="M1306" s="22"/>
      <c r="N1306" s="22"/>
      <c r="O1306" s="20" t="s">
        <v>15</v>
      </c>
      <c r="P1306" s="25" t="s">
        <v>16</v>
      </c>
      <c r="Q1306" s="16">
        <v>2958465</v>
      </c>
    </row>
    <row r="1307" spans="1:17">
      <c r="A1307" s="11">
        <f t="shared" si="20"/>
        <v>1306</v>
      </c>
      <c r="B1307" s="11">
        <v>8130076928</v>
      </c>
      <c r="C1307" s="25" t="s">
        <v>340</v>
      </c>
      <c r="D1307" s="27">
        <v>3336646.5190476198</v>
      </c>
      <c r="E1307" s="11">
        <v>0.45</v>
      </c>
      <c r="F1307" s="11" t="s">
        <v>11</v>
      </c>
      <c r="G1307" s="44">
        <v>1501491</v>
      </c>
      <c r="H1307" s="28">
        <v>1352694.5945945946</v>
      </c>
      <c r="I1307" s="19" t="s">
        <v>332</v>
      </c>
      <c r="J1307" s="19" t="s">
        <v>333</v>
      </c>
      <c r="K1307" s="32" t="s">
        <v>334</v>
      </c>
      <c r="L1307" s="22"/>
      <c r="M1307" s="22"/>
      <c r="N1307" s="22"/>
      <c r="O1307" s="20" t="s">
        <v>15</v>
      </c>
      <c r="P1307" s="25" t="s">
        <v>16</v>
      </c>
      <c r="Q1307" s="16">
        <v>2958465</v>
      </c>
    </row>
    <row r="1308" spans="1:17">
      <c r="A1308" s="11">
        <f t="shared" si="20"/>
        <v>1307</v>
      </c>
      <c r="B1308" s="11">
        <v>8130076929</v>
      </c>
      <c r="C1308" s="25" t="s">
        <v>342</v>
      </c>
      <c r="D1308" s="27">
        <v>3253293.65</v>
      </c>
      <c r="E1308" s="11">
        <v>0.45</v>
      </c>
      <c r="F1308" s="11" t="s">
        <v>11</v>
      </c>
      <c r="G1308" s="44">
        <v>1463982</v>
      </c>
      <c r="H1308" s="28">
        <v>1318902.7027027025</v>
      </c>
      <c r="I1308" s="19" t="s">
        <v>332</v>
      </c>
      <c r="J1308" s="19" t="s">
        <v>333</v>
      </c>
      <c r="K1308" s="32" t="s">
        <v>334</v>
      </c>
      <c r="L1308" s="22"/>
      <c r="M1308" s="22"/>
      <c r="N1308" s="22"/>
      <c r="O1308" s="20" t="s">
        <v>15</v>
      </c>
      <c r="P1308" s="25" t="s">
        <v>16</v>
      </c>
      <c r="Q1308" s="16">
        <v>2958465</v>
      </c>
    </row>
    <row r="1309" spans="1:17">
      <c r="A1309" s="11">
        <f t="shared" si="20"/>
        <v>1308</v>
      </c>
      <c r="B1309" s="11">
        <v>8130076930</v>
      </c>
      <c r="C1309" s="25" t="s">
        <v>344</v>
      </c>
      <c r="D1309" s="27">
        <v>3903952.3809523801</v>
      </c>
      <c r="E1309" s="11">
        <v>0.45</v>
      </c>
      <c r="F1309" s="11" t="s">
        <v>11</v>
      </c>
      <c r="G1309" s="44">
        <v>1756779</v>
      </c>
      <c r="H1309" s="28">
        <v>1582683.7837837837</v>
      </c>
      <c r="I1309" s="19" t="s">
        <v>332</v>
      </c>
      <c r="J1309" s="19" t="s">
        <v>333</v>
      </c>
      <c r="K1309" s="32" t="s">
        <v>334</v>
      </c>
      <c r="L1309" s="22"/>
      <c r="M1309" s="22"/>
      <c r="N1309" s="22"/>
      <c r="O1309" s="20" t="s">
        <v>15</v>
      </c>
      <c r="P1309" s="25" t="s">
        <v>16</v>
      </c>
      <c r="Q1309" s="16">
        <v>2958465</v>
      </c>
    </row>
    <row r="1310" spans="1:17">
      <c r="A1310" s="11">
        <f t="shared" si="20"/>
        <v>1309</v>
      </c>
      <c r="B1310" s="11">
        <v>8130076931</v>
      </c>
      <c r="C1310" s="53" t="s">
        <v>346</v>
      </c>
      <c r="D1310" s="27">
        <v>5422367.0642857105</v>
      </c>
      <c r="E1310" s="11">
        <v>0.45</v>
      </c>
      <c r="F1310" s="11" t="s">
        <v>11</v>
      </c>
      <c r="G1310" s="44">
        <v>2440065</v>
      </c>
      <c r="H1310" s="28">
        <v>2198256.7567567565</v>
      </c>
      <c r="I1310" s="19" t="s">
        <v>332</v>
      </c>
      <c r="J1310" s="19" t="s">
        <v>333</v>
      </c>
      <c r="K1310" s="32" t="s">
        <v>334</v>
      </c>
      <c r="L1310" s="22"/>
      <c r="M1310" s="22"/>
      <c r="N1310" s="22"/>
      <c r="O1310" s="20" t="s">
        <v>15</v>
      </c>
      <c r="P1310" s="25" t="s">
        <v>16</v>
      </c>
      <c r="Q1310" s="16">
        <v>2958465</v>
      </c>
    </row>
    <row r="1311" spans="1:17">
      <c r="A1311" s="11">
        <f t="shared" si="20"/>
        <v>1310</v>
      </c>
      <c r="B1311" s="11">
        <v>8130076932</v>
      </c>
      <c r="C1311" s="53" t="s">
        <v>353</v>
      </c>
      <c r="D1311" s="27">
        <v>399343.378095238</v>
      </c>
      <c r="E1311" s="11">
        <v>0.45</v>
      </c>
      <c r="F1311" s="11" t="s">
        <v>11</v>
      </c>
      <c r="G1311" s="44">
        <v>179705</v>
      </c>
      <c r="H1311" s="28">
        <v>161896.39639639639</v>
      </c>
      <c r="I1311" s="19" t="s">
        <v>332</v>
      </c>
      <c r="J1311" s="19" t="s">
        <v>333</v>
      </c>
      <c r="K1311" s="32" t="s">
        <v>334</v>
      </c>
      <c r="L1311" s="22"/>
      <c r="M1311" s="22"/>
      <c r="N1311" s="22"/>
      <c r="O1311" s="20" t="s">
        <v>15</v>
      </c>
      <c r="P1311" s="25" t="s">
        <v>16</v>
      </c>
      <c r="Q1311" s="16">
        <v>2958465</v>
      </c>
    </row>
    <row r="1312" spans="1:17">
      <c r="A1312" s="11">
        <f t="shared" si="20"/>
        <v>1311</v>
      </c>
      <c r="B1312" s="11">
        <v>8130076933</v>
      </c>
      <c r="C1312" s="53" t="s">
        <v>355</v>
      </c>
      <c r="D1312" s="27">
        <v>478856.02690476202</v>
      </c>
      <c r="E1312" s="11">
        <v>0.45</v>
      </c>
      <c r="F1312" s="11" t="s">
        <v>11</v>
      </c>
      <c r="G1312" s="44">
        <v>215485</v>
      </c>
      <c r="H1312" s="28">
        <v>194130.63063063062</v>
      </c>
      <c r="I1312" s="19" t="s">
        <v>332</v>
      </c>
      <c r="J1312" s="19" t="s">
        <v>333</v>
      </c>
      <c r="K1312" s="32" t="s">
        <v>334</v>
      </c>
      <c r="L1312" s="22"/>
      <c r="M1312" s="22"/>
      <c r="N1312" s="22"/>
      <c r="O1312" s="20" t="s">
        <v>15</v>
      </c>
      <c r="P1312" s="25" t="s">
        <v>16</v>
      </c>
      <c r="Q1312" s="16">
        <v>2958465</v>
      </c>
    </row>
    <row r="1313" spans="1:17">
      <c r="A1313" s="11">
        <f t="shared" si="20"/>
        <v>1312</v>
      </c>
      <c r="B1313" s="11">
        <v>8130076934</v>
      </c>
      <c r="C1313" s="53" t="s">
        <v>357</v>
      </c>
      <c r="D1313" s="27">
        <v>592191.22023809503</v>
      </c>
      <c r="E1313" s="11">
        <v>0.45</v>
      </c>
      <c r="F1313" s="11" t="s">
        <v>11</v>
      </c>
      <c r="G1313" s="44">
        <v>266486</v>
      </c>
      <c r="H1313" s="28">
        <v>240077.47747747746</v>
      </c>
      <c r="I1313" s="19" t="s">
        <v>332</v>
      </c>
      <c r="J1313" s="19" t="s">
        <v>333</v>
      </c>
      <c r="K1313" s="32" t="s">
        <v>334</v>
      </c>
      <c r="L1313" s="22"/>
      <c r="M1313" s="22"/>
      <c r="N1313" s="22"/>
      <c r="O1313" s="20" t="s">
        <v>15</v>
      </c>
      <c r="P1313" s="25" t="s">
        <v>16</v>
      </c>
      <c r="Q1313" s="16">
        <v>2958465</v>
      </c>
    </row>
    <row r="1314" spans="1:17">
      <c r="A1314" s="11">
        <f t="shared" si="20"/>
        <v>1313</v>
      </c>
      <c r="B1314" s="11">
        <v>8130076935</v>
      </c>
      <c r="C1314" s="53" t="s">
        <v>339</v>
      </c>
      <c r="D1314" s="27">
        <v>2923533.7309523802</v>
      </c>
      <c r="E1314" s="11">
        <v>0.45</v>
      </c>
      <c r="F1314" s="11" t="s">
        <v>11</v>
      </c>
      <c r="G1314" s="44">
        <v>1315590</v>
      </c>
      <c r="H1314" s="28">
        <v>1185216.2162162161</v>
      </c>
      <c r="I1314" s="19" t="s">
        <v>332</v>
      </c>
      <c r="J1314" s="19" t="s">
        <v>333</v>
      </c>
      <c r="K1314" s="32" t="s">
        <v>334</v>
      </c>
      <c r="L1314" s="22"/>
      <c r="M1314" s="22"/>
      <c r="N1314" s="22"/>
      <c r="O1314" s="20" t="s">
        <v>15</v>
      </c>
      <c r="P1314" s="25" t="s">
        <v>16</v>
      </c>
      <c r="Q1314" s="16">
        <v>2958465</v>
      </c>
    </row>
    <row r="1315" spans="1:17">
      <c r="A1315" s="11">
        <f t="shared" si="20"/>
        <v>1314</v>
      </c>
      <c r="B1315" s="11">
        <v>8130076936</v>
      </c>
      <c r="C1315" s="53" t="s">
        <v>341</v>
      </c>
      <c r="D1315" s="27">
        <v>4616005.9523809496</v>
      </c>
      <c r="E1315" s="11">
        <v>0.45</v>
      </c>
      <c r="F1315" s="11" t="s">
        <v>11</v>
      </c>
      <c r="G1315" s="44">
        <v>2077203</v>
      </c>
      <c r="H1315" s="28">
        <v>1871354.054054054</v>
      </c>
      <c r="I1315" s="19" t="s">
        <v>332</v>
      </c>
      <c r="J1315" s="19" t="s">
        <v>333</v>
      </c>
      <c r="K1315" s="32" t="s">
        <v>334</v>
      </c>
      <c r="L1315" s="22"/>
      <c r="M1315" s="22"/>
      <c r="N1315" s="22"/>
      <c r="O1315" s="20" t="s">
        <v>15</v>
      </c>
      <c r="P1315" s="25" t="s">
        <v>16</v>
      </c>
      <c r="Q1315" s="16">
        <v>2958465</v>
      </c>
    </row>
    <row r="1316" spans="1:17">
      <c r="A1316" s="11">
        <f t="shared" si="20"/>
        <v>1315</v>
      </c>
      <c r="B1316" s="11">
        <v>8130076937</v>
      </c>
      <c r="C1316" s="53" t="s">
        <v>343</v>
      </c>
      <c r="D1316" s="27">
        <v>4616005.9523809496</v>
      </c>
      <c r="E1316" s="11">
        <v>0.45</v>
      </c>
      <c r="F1316" s="11" t="s">
        <v>11</v>
      </c>
      <c r="G1316" s="44">
        <v>2077203</v>
      </c>
      <c r="H1316" s="28">
        <v>1871354.054054054</v>
      </c>
      <c r="I1316" s="19" t="s">
        <v>332</v>
      </c>
      <c r="J1316" s="19" t="s">
        <v>333</v>
      </c>
      <c r="K1316" s="32" t="s">
        <v>334</v>
      </c>
      <c r="L1316" s="22"/>
      <c r="M1316" s="22"/>
      <c r="N1316" s="22"/>
      <c r="O1316" s="20" t="s">
        <v>15</v>
      </c>
      <c r="P1316" s="25" t="s">
        <v>16</v>
      </c>
      <c r="Q1316" s="16">
        <v>2958465</v>
      </c>
    </row>
    <row r="1317" spans="1:17">
      <c r="A1317" s="11">
        <f t="shared" si="20"/>
        <v>1316</v>
      </c>
      <c r="B1317" s="11">
        <v>8130076938</v>
      </c>
      <c r="C1317" s="53" t="s">
        <v>345</v>
      </c>
      <c r="D1317" s="27">
        <v>4846394.8404761897</v>
      </c>
      <c r="E1317" s="11">
        <v>0.45</v>
      </c>
      <c r="F1317" s="11" t="s">
        <v>11</v>
      </c>
      <c r="G1317" s="44">
        <v>2180878</v>
      </c>
      <c r="H1317" s="28">
        <v>1964754.9549549548</v>
      </c>
      <c r="I1317" s="19" t="s">
        <v>332</v>
      </c>
      <c r="J1317" s="19" t="s">
        <v>333</v>
      </c>
      <c r="K1317" s="32" t="s">
        <v>334</v>
      </c>
      <c r="L1317" s="22"/>
      <c r="M1317" s="22"/>
      <c r="N1317" s="22"/>
      <c r="O1317" s="20" t="s">
        <v>15</v>
      </c>
      <c r="P1317" s="25" t="s">
        <v>16</v>
      </c>
      <c r="Q1317" s="16">
        <v>2958465</v>
      </c>
    </row>
    <row r="1318" spans="1:17">
      <c r="A1318" s="11">
        <f t="shared" si="20"/>
        <v>1317</v>
      </c>
      <c r="B1318" s="11">
        <v>8130076939</v>
      </c>
      <c r="C1318" s="53" t="s">
        <v>347</v>
      </c>
      <c r="D1318" s="27">
        <v>7692710.3166666701</v>
      </c>
      <c r="E1318" s="11">
        <v>0.45</v>
      </c>
      <c r="F1318" s="11" t="s">
        <v>11</v>
      </c>
      <c r="G1318" s="44">
        <v>3461720</v>
      </c>
      <c r="H1318" s="28">
        <v>3118666.6666666665</v>
      </c>
      <c r="I1318" s="19" t="s">
        <v>332</v>
      </c>
      <c r="J1318" s="19" t="s">
        <v>333</v>
      </c>
      <c r="K1318" s="32" t="s">
        <v>334</v>
      </c>
      <c r="L1318" s="22"/>
      <c r="M1318" s="22"/>
      <c r="N1318" s="22"/>
      <c r="O1318" s="20" t="s">
        <v>15</v>
      </c>
      <c r="P1318" s="25" t="s">
        <v>16</v>
      </c>
      <c r="Q1318" s="16">
        <v>2958465</v>
      </c>
    </row>
    <row r="1319" spans="1:17">
      <c r="A1319" s="11">
        <f t="shared" si="20"/>
        <v>1318</v>
      </c>
      <c r="B1319" s="11">
        <v>8130076940</v>
      </c>
      <c r="C1319" s="53" t="s">
        <v>364</v>
      </c>
      <c r="D1319" s="27">
        <v>872390</v>
      </c>
      <c r="E1319" s="11">
        <v>0.45</v>
      </c>
      <c r="F1319" s="11" t="s">
        <v>11</v>
      </c>
      <c r="G1319" s="44">
        <v>392576</v>
      </c>
      <c r="H1319" s="28">
        <v>353672.07207207201</v>
      </c>
      <c r="I1319" s="19" t="s">
        <v>332</v>
      </c>
      <c r="J1319" s="19" t="s">
        <v>333</v>
      </c>
      <c r="K1319" s="32" t="s">
        <v>334</v>
      </c>
      <c r="L1319" s="22"/>
      <c r="M1319" s="22"/>
      <c r="N1319" s="22"/>
      <c r="O1319" s="20" t="s">
        <v>15</v>
      </c>
      <c r="P1319" s="25" t="s">
        <v>16</v>
      </c>
      <c r="Q1319" s="16">
        <v>2958465</v>
      </c>
    </row>
    <row r="1320" spans="1:17">
      <c r="A1320" s="11">
        <f t="shared" si="20"/>
        <v>1319</v>
      </c>
      <c r="B1320" s="11">
        <v>8130076941</v>
      </c>
      <c r="C1320" s="53" t="s">
        <v>365</v>
      </c>
      <c r="D1320" s="27">
        <v>1062128</v>
      </c>
      <c r="E1320" s="11">
        <v>0.45</v>
      </c>
      <c r="F1320" s="11" t="s">
        <v>11</v>
      </c>
      <c r="G1320" s="44">
        <v>477958</v>
      </c>
      <c r="H1320" s="28">
        <v>430592.79279279278</v>
      </c>
      <c r="I1320" s="19" t="s">
        <v>332</v>
      </c>
      <c r="J1320" s="19" t="s">
        <v>333</v>
      </c>
      <c r="K1320" s="32" t="s">
        <v>334</v>
      </c>
      <c r="L1320" s="22"/>
      <c r="M1320" s="22"/>
      <c r="N1320" s="22"/>
      <c r="O1320" s="20" t="s">
        <v>15</v>
      </c>
      <c r="P1320" s="25" t="s">
        <v>16</v>
      </c>
      <c r="Q1320" s="16">
        <v>2958465</v>
      </c>
    </row>
    <row r="1321" spans="1:17">
      <c r="A1321" s="11">
        <f t="shared" si="20"/>
        <v>1320</v>
      </c>
      <c r="B1321" s="11">
        <v>8130076943</v>
      </c>
      <c r="C1321" s="53" t="s">
        <v>352</v>
      </c>
      <c r="D1321" s="27">
        <v>824625.85023809504</v>
      </c>
      <c r="E1321" s="11">
        <v>0.45</v>
      </c>
      <c r="F1321" s="11" t="s">
        <v>11</v>
      </c>
      <c r="G1321" s="44">
        <v>371082</v>
      </c>
      <c r="H1321" s="28">
        <v>334308.10810810811</v>
      </c>
      <c r="I1321" s="19" t="s">
        <v>332</v>
      </c>
      <c r="J1321" s="19" t="s">
        <v>333</v>
      </c>
      <c r="K1321" s="32" t="s">
        <v>334</v>
      </c>
      <c r="L1321" s="22"/>
      <c r="M1321" s="22"/>
      <c r="N1321" s="22"/>
      <c r="O1321" s="20" t="s">
        <v>15</v>
      </c>
      <c r="P1321" s="25" t="s">
        <v>16</v>
      </c>
      <c r="Q1321" s="16">
        <v>2958465</v>
      </c>
    </row>
    <row r="1322" spans="1:17">
      <c r="A1322" s="11">
        <f t="shared" si="20"/>
        <v>1321</v>
      </c>
      <c r="B1322" s="11">
        <v>8130076944</v>
      </c>
      <c r="C1322" s="53" t="s">
        <v>354</v>
      </c>
      <c r="D1322" s="27">
        <v>348312.872142857</v>
      </c>
      <c r="E1322" s="11">
        <v>0.45</v>
      </c>
      <c r="F1322" s="11" t="s">
        <v>11</v>
      </c>
      <c r="G1322" s="44">
        <v>156741</v>
      </c>
      <c r="H1322" s="28">
        <v>141208.10810810811</v>
      </c>
      <c r="I1322" s="19" t="s">
        <v>332</v>
      </c>
      <c r="J1322" s="19" t="s">
        <v>333</v>
      </c>
      <c r="K1322" s="32" t="s">
        <v>334</v>
      </c>
      <c r="L1322" s="22"/>
      <c r="M1322" s="22"/>
      <c r="N1322" s="22"/>
      <c r="O1322" s="20" t="s">
        <v>15</v>
      </c>
      <c r="P1322" s="25" t="s">
        <v>16</v>
      </c>
      <c r="Q1322" s="16">
        <v>2958465</v>
      </c>
    </row>
    <row r="1323" spans="1:17">
      <c r="A1323" s="11">
        <f t="shared" si="20"/>
        <v>1322</v>
      </c>
      <c r="B1323" s="11">
        <v>8130076945</v>
      </c>
      <c r="C1323" s="53" t="s">
        <v>356</v>
      </c>
      <c r="D1323" s="27">
        <v>418331.47333333298</v>
      </c>
      <c r="E1323" s="11">
        <v>0.45</v>
      </c>
      <c r="F1323" s="11" t="s">
        <v>11</v>
      </c>
      <c r="G1323" s="44">
        <v>188249</v>
      </c>
      <c r="H1323" s="28">
        <v>169593.69369369367</v>
      </c>
      <c r="I1323" s="19" t="s">
        <v>332</v>
      </c>
      <c r="J1323" s="19" t="s">
        <v>333</v>
      </c>
      <c r="K1323" s="32" t="s">
        <v>334</v>
      </c>
      <c r="L1323" s="22"/>
      <c r="M1323" s="22"/>
      <c r="N1323" s="22"/>
      <c r="O1323" s="20" t="s">
        <v>15</v>
      </c>
      <c r="P1323" s="25" t="s">
        <v>16</v>
      </c>
      <c r="Q1323" s="16">
        <v>2958465</v>
      </c>
    </row>
    <row r="1324" spans="1:17">
      <c r="A1324" s="11">
        <f t="shared" si="20"/>
        <v>1323</v>
      </c>
      <c r="B1324" s="11">
        <v>8130076946</v>
      </c>
      <c r="C1324" s="53" t="s">
        <v>363</v>
      </c>
      <c r="D1324" s="27">
        <v>7075597.2214285703</v>
      </c>
      <c r="E1324" s="11">
        <v>0.45</v>
      </c>
      <c r="F1324" s="11" t="s">
        <v>11</v>
      </c>
      <c r="G1324" s="44">
        <v>3184019</v>
      </c>
      <c r="H1324" s="28">
        <v>2868485.5855855853</v>
      </c>
      <c r="I1324" s="19" t="s">
        <v>332</v>
      </c>
      <c r="J1324" s="19" t="s">
        <v>333</v>
      </c>
      <c r="K1324" s="32" t="s">
        <v>334</v>
      </c>
      <c r="L1324" s="22"/>
      <c r="M1324" s="22"/>
      <c r="N1324" s="22"/>
      <c r="O1324" s="20" t="s">
        <v>15</v>
      </c>
      <c r="P1324" s="25" t="s">
        <v>16</v>
      </c>
      <c r="Q1324" s="16">
        <v>2958465</v>
      </c>
    </row>
    <row r="1325" spans="1:17">
      <c r="A1325" s="11">
        <f t="shared" si="20"/>
        <v>1324</v>
      </c>
      <c r="B1325" s="11">
        <v>8130077018</v>
      </c>
      <c r="C1325" s="53" t="s">
        <v>358</v>
      </c>
      <c r="D1325" s="27">
        <v>1696269.8411904799</v>
      </c>
      <c r="E1325" s="11">
        <v>0.45</v>
      </c>
      <c r="F1325" s="11" t="s">
        <v>11</v>
      </c>
      <c r="G1325" s="44">
        <v>763321</v>
      </c>
      <c r="H1325" s="28">
        <v>687676.57657657657</v>
      </c>
      <c r="I1325" s="19" t="s">
        <v>359</v>
      </c>
      <c r="J1325" s="19" t="s">
        <v>360</v>
      </c>
      <c r="K1325" s="32" t="s">
        <v>334</v>
      </c>
      <c r="L1325" s="22"/>
      <c r="M1325" s="22"/>
      <c r="N1325" s="22"/>
      <c r="O1325" s="20" t="s">
        <v>15</v>
      </c>
      <c r="P1325" s="25" t="s">
        <v>16</v>
      </c>
      <c r="Q1325" s="16">
        <v>2958465</v>
      </c>
    </row>
    <row r="1326" spans="1:17">
      <c r="A1326" s="11">
        <f t="shared" si="20"/>
        <v>1325</v>
      </c>
      <c r="B1326" s="11">
        <v>8130077019</v>
      </c>
      <c r="C1326" s="53" t="s">
        <v>361</v>
      </c>
      <c r="D1326" s="27">
        <v>2698841.2690476198</v>
      </c>
      <c r="E1326" s="11">
        <v>0.45</v>
      </c>
      <c r="F1326" s="11" t="s">
        <v>11</v>
      </c>
      <c r="G1326" s="44">
        <v>1214479</v>
      </c>
      <c r="H1326" s="28">
        <v>1094125.2252252251</v>
      </c>
      <c r="I1326" s="19" t="s">
        <v>359</v>
      </c>
      <c r="J1326" s="19" t="s">
        <v>360</v>
      </c>
      <c r="K1326" s="32" t="s">
        <v>334</v>
      </c>
      <c r="L1326" s="22"/>
      <c r="M1326" s="22"/>
      <c r="N1326" s="22"/>
      <c r="O1326" s="20" t="s">
        <v>15</v>
      </c>
      <c r="P1326" s="25" t="s">
        <v>16</v>
      </c>
      <c r="Q1326" s="16">
        <v>2958465</v>
      </c>
    </row>
    <row r="1327" spans="1:17">
      <c r="A1327" s="11">
        <f t="shared" si="20"/>
        <v>1326</v>
      </c>
      <c r="B1327" s="12">
        <v>8130090100</v>
      </c>
      <c r="C1327" s="54" t="s">
        <v>1396</v>
      </c>
      <c r="D1327" s="30"/>
      <c r="E1327" s="30"/>
      <c r="F1327" s="11" t="s">
        <v>11</v>
      </c>
      <c r="G1327" s="43">
        <v>70195.221060913595</v>
      </c>
      <c r="H1327" s="31">
        <v>63238.937892714945</v>
      </c>
      <c r="I1327" s="13" t="s">
        <v>359</v>
      </c>
      <c r="J1327" s="13" t="s">
        <v>360</v>
      </c>
      <c r="K1327" s="14" t="s">
        <v>1440</v>
      </c>
      <c r="L1327" s="12" t="s">
        <v>1266</v>
      </c>
      <c r="M1327" s="12" t="s">
        <v>11</v>
      </c>
      <c r="N1327" s="15" t="s">
        <v>1267</v>
      </c>
      <c r="O1327" s="15" t="s">
        <v>1189</v>
      </c>
      <c r="P1327" s="12" t="s">
        <v>1397</v>
      </c>
      <c r="Q1327" s="16">
        <v>2958465</v>
      </c>
    </row>
    <row r="1328" spans="1:17">
      <c r="A1328" s="11">
        <f t="shared" si="20"/>
        <v>1327</v>
      </c>
      <c r="B1328" s="12">
        <v>8130090103</v>
      </c>
      <c r="C1328" s="54" t="s">
        <v>1398</v>
      </c>
      <c r="D1328" s="30"/>
      <c r="E1328" s="30"/>
      <c r="F1328" s="11" t="s">
        <v>11</v>
      </c>
      <c r="G1328" s="43">
        <v>66562.4892664894</v>
      </c>
      <c r="H1328" s="31">
        <v>59966.206546386842</v>
      </c>
      <c r="I1328" s="13" t="s">
        <v>359</v>
      </c>
      <c r="J1328" s="13" t="s">
        <v>360</v>
      </c>
      <c r="K1328" s="14" t="s">
        <v>1440</v>
      </c>
      <c r="L1328" s="12" t="s">
        <v>1266</v>
      </c>
      <c r="M1328" s="12" t="s">
        <v>11</v>
      </c>
      <c r="N1328" s="15" t="s">
        <v>1267</v>
      </c>
      <c r="O1328" s="15" t="s">
        <v>1189</v>
      </c>
      <c r="P1328" s="12" t="s">
        <v>1397</v>
      </c>
      <c r="Q1328" s="16">
        <v>2958465</v>
      </c>
    </row>
    <row r="1329" spans="1:20">
      <c r="A1329" s="11">
        <f t="shared" si="20"/>
        <v>1328</v>
      </c>
      <c r="B1329" s="12">
        <v>8130090104</v>
      </c>
      <c r="C1329" s="54" t="s">
        <v>1399</v>
      </c>
      <c r="D1329" s="30"/>
      <c r="E1329" s="30"/>
      <c r="F1329" s="11" t="s">
        <v>11</v>
      </c>
      <c r="G1329" s="43">
        <v>57607.974014207197</v>
      </c>
      <c r="H1329" s="31">
        <v>51899.07568847495</v>
      </c>
      <c r="I1329" s="13" t="s">
        <v>359</v>
      </c>
      <c r="J1329" s="13" t="s">
        <v>360</v>
      </c>
      <c r="K1329" s="14" t="s">
        <v>1440</v>
      </c>
      <c r="L1329" s="12" t="s">
        <v>1266</v>
      </c>
      <c r="M1329" s="12" t="s">
        <v>11</v>
      </c>
      <c r="N1329" s="15" t="s">
        <v>1267</v>
      </c>
      <c r="O1329" s="15" t="s">
        <v>1189</v>
      </c>
      <c r="P1329" s="12" t="s">
        <v>1397</v>
      </c>
      <c r="Q1329" s="16">
        <v>2958465</v>
      </c>
    </row>
    <row r="1330" spans="1:20">
      <c r="A1330" s="11">
        <f t="shared" si="20"/>
        <v>1329</v>
      </c>
      <c r="B1330" s="12">
        <v>8130090105</v>
      </c>
      <c r="C1330" s="54" t="s">
        <v>1400</v>
      </c>
      <c r="D1330" s="30"/>
      <c r="E1330" s="30"/>
      <c r="F1330" s="11" t="s">
        <v>11</v>
      </c>
      <c r="G1330" s="43">
        <v>36495.081311884998</v>
      </c>
      <c r="H1330" s="31">
        <v>32878.451632328826</v>
      </c>
      <c r="I1330" s="13" t="s">
        <v>359</v>
      </c>
      <c r="J1330" s="13" t="s">
        <v>360</v>
      </c>
      <c r="K1330" s="14" t="s">
        <v>1440</v>
      </c>
      <c r="L1330" s="12" t="s">
        <v>1266</v>
      </c>
      <c r="M1330" s="12" t="s">
        <v>11</v>
      </c>
      <c r="N1330" s="15" t="s">
        <v>1267</v>
      </c>
      <c r="O1330" s="15" t="s">
        <v>1189</v>
      </c>
      <c r="P1330" s="12" t="s">
        <v>1397</v>
      </c>
      <c r="Q1330" s="16">
        <v>2958465</v>
      </c>
    </row>
    <row r="1331" spans="1:20">
      <c r="A1331" s="11">
        <f t="shared" si="20"/>
        <v>1330</v>
      </c>
      <c r="B1331" s="12">
        <v>8130090106</v>
      </c>
      <c r="C1331" s="54" t="s">
        <v>1401</v>
      </c>
      <c r="D1331" s="30"/>
      <c r="E1331" s="30"/>
      <c r="F1331" s="11" t="s">
        <v>11</v>
      </c>
      <c r="G1331" s="43">
        <v>27313.972517773502</v>
      </c>
      <c r="H1331" s="31">
        <v>24607.182448444593</v>
      </c>
      <c r="I1331" s="13" t="s">
        <v>359</v>
      </c>
      <c r="J1331" s="13" t="s">
        <v>360</v>
      </c>
      <c r="K1331" s="14" t="s">
        <v>1440</v>
      </c>
      <c r="L1331" s="12" t="s">
        <v>1266</v>
      </c>
      <c r="M1331" s="12" t="s">
        <v>11</v>
      </c>
      <c r="N1331" s="15" t="s">
        <v>1267</v>
      </c>
      <c r="O1331" s="15" t="s">
        <v>1189</v>
      </c>
      <c r="P1331" s="12" t="s">
        <v>1397</v>
      </c>
      <c r="Q1331" s="16">
        <v>2958465</v>
      </c>
    </row>
    <row r="1332" spans="1:20">
      <c r="A1332" s="11">
        <f t="shared" si="20"/>
        <v>1331</v>
      </c>
      <c r="B1332" s="12">
        <v>8130090107</v>
      </c>
      <c r="C1332" s="54" t="s">
        <v>1402</v>
      </c>
      <c r="D1332" s="30"/>
      <c r="E1332" s="30"/>
      <c r="F1332" s="11" t="s">
        <v>11</v>
      </c>
      <c r="G1332" s="43">
        <v>66559.561651470998</v>
      </c>
      <c r="H1332" s="31">
        <v>59963.569055379274</v>
      </c>
      <c r="I1332" s="13" t="s">
        <v>359</v>
      </c>
      <c r="J1332" s="13" t="s">
        <v>360</v>
      </c>
      <c r="K1332" s="14" t="s">
        <v>1440</v>
      </c>
      <c r="L1332" s="12" t="s">
        <v>1266</v>
      </c>
      <c r="M1332" s="12" t="s">
        <v>11</v>
      </c>
      <c r="N1332" s="15" t="s">
        <v>1267</v>
      </c>
      <c r="O1332" s="15" t="s">
        <v>1189</v>
      </c>
      <c r="P1332" s="12" t="s">
        <v>1397</v>
      </c>
      <c r="Q1332" s="16">
        <v>2958465</v>
      </c>
    </row>
    <row r="1333" spans="1:20">
      <c r="A1333" s="11">
        <f t="shared" si="20"/>
        <v>1332</v>
      </c>
      <c r="B1333" s="12">
        <v>8130090108</v>
      </c>
      <c r="C1333" s="54" t="s">
        <v>1403</v>
      </c>
      <c r="D1333" s="30"/>
      <c r="E1333" s="30"/>
      <c r="F1333" s="11" t="s">
        <v>11</v>
      </c>
      <c r="G1333" s="43">
        <v>635.41339200310904</v>
      </c>
      <c r="H1333" s="31">
        <v>572.44449730009819</v>
      </c>
      <c r="I1333" s="13" t="s">
        <v>359</v>
      </c>
      <c r="J1333" s="13" t="s">
        <v>360</v>
      </c>
      <c r="K1333" s="14" t="s">
        <v>1440</v>
      </c>
      <c r="L1333" s="12" t="s">
        <v>1266</v>
      </c>
      <c r="M1333" s="12" t="s">
        <v>11</v>
      </c>
      <c r="N1333" s="15" t="s">
        <v>1267</v>
      </c>
      <c r="O1333" s="15" t="s">
        <v>1189</v>
      </c>
      <c r="P1333" s="12" t="s">
        <v>1397</v>
      </c>
      <c r="Q1333" s="16">
        <v>2958465</v>
      </c>
    </row>
    <row r="1334" spans="1:20" s="36" customFormat="1">
      <c r="A1334" s="11">
        <f t="shared" si="20"/>
        <v>1333</v>
      </c>
      <c r="B1334" s="12">
        <v>8130090109</v>
      </c>
      <c r="C1334" s="54" t="s">
        <v>1404</v>
      </c>
      <c r="D1334" s="30"/>
      <c r="E1334" s="30"/>
      <c r="F1334" s="11" t="s">
        <v>11</v>
      </c>
      <c r="G1334" s="43">
        <v>647.08582290040999</v>
      </c>
      <c r="H1334" s="31">
        <v>582.96020081118013</v>
      </c>
      <c r="I1334" s="13" t="s">
        <v>359</v>
      </c>
      <c r="J1334" s="13" t="s">
        <v>360</v>
      </c>
      <c r="K1334" s="14" t="s">
        <v>1440</v>
      </c>
      <c r="L1334" s="12" t="s">
        <v>1266</v>
      </c>
      <c r="M1334" s="12" t="s">
        <v>11</v>
      </c>
      <c r="N1334" s="15" t="s">
        <v>1267</v>
      </c>
      <c r="O1334" s="15" t="s">
        <v>1189</v>
      </c>
      <c r="P1334" s="12" t="s">
        <v>1397</v>
      </c>
      <c r="Q1334" s="16">
        <v>2958465</v>
      </c>
      <c r="R1334"/>
      <c r="S1334"/>
      <c r="T1334"/>
    </row>
    <row r="1335" spans="1:20" s="36" customFormat="1">
      <c r="A1335" s="11">
        <f t="shared" si="20"/>
        <v>1334</v>
      </c>
      <c r="B1335" s="12">
        <v>8130090110</v>
      </c>
      <c r="C1335" s="54" t="s">
        <v>1405</v>
      </c>
      <c r="D1335" s="30"/>
      <c r="E1335" s="30"/>
      <c r="F1335" s="11" t="s">
        <v>11</v>
      </c>
      <c r="G1335" s="43">
        <v>85202.845547073695</v>
      </c>
      <c r="H1335" s="31">
        <v>76759.320312679003</v>
      </c>
      <c r="I1335" s="13" t="s">
        <v>359</v>
      </c>
      <c r="J1335" s="13" t="s">
        <v>360</v>
      </c>
      <c r="K1335" s="14" t="s">
        <v>1440</v>
      </c>
      <c r="L1335" s="12" t="s">
        <v>1406</v>
      </c>
      <c r="M1335" s="12" t="s">
        <v>11</v>
      </c>
      <c r="N1335" s="15" t="s">
        <v>1267</v>
      </c>
      <c r="O1335" s="15" t="s">
        <v>1189</v>
      </c>
      <c r="P1335" s="12" t="s">
        <v>1397</v>
      </c>
      <c r="Q1335" s="16">
        <v>2958465</v>
      </c>
      <c r="R1335"/>
      <c r="S1335"/>
      <c r="T1335"/>
    </row>
    <row r="1336" spans="1:20" s="36" customFormat="1">
      <c r="A1336" s="11">
        <f t="shared" si="20"/>
        <v>1335</v>
      </c>
      <c r="B1336" s="12">
        <v>8130090111</v>
      </c>
      <c r="C1336" s="54" t="s">
        <v>1407</v>
      </c>
      <c r="D1336" s="30"/>
      <c r="E1336" s="30"/>
      <c r="F1336" s="11" t="s">
        <v>11</v>
      </c>
      <c r="G1336" s="43">
        <v>85253.430075220997</v>
      </c>
      <c r="H1336" s="31">
        <v>76804.891959658547</v>
      </c>
      <c r="I1336" s="13" t="s">
        <v>359</v>
      </c>
      <c r="J1336" s="13" t="s">
        <v>360</v>
      </c>
      <c r="K1336" s="14" t="s">
        <v>1440</v>
      </c>
      <c r="L1336" s="12" t="s">
        <v>1406</v>
      </c>
      <c r="M1336" s="12" t="s">
        <v>11</v>
      </c>
      <c r="N1336" s="15" t="s">
        <v>1267</v>
      </c>
      <c r="O1336" s="15" t="s">
        <v>1189</v>
      </c>
      <c r="P1336" s="12" t="s">
        <v>1397</v>
      </c>
      <c r="Q1336" s="16">
        <v>2958465</v>
      </c>
      <c r="R1336"/>
      <c r="S1336"/>
      <c r="T1336"/>
    </row>
    <row r="1337" spans="1:20" s="36" customFormat="1">
      <c r="A1337" s="11">
        <f t="shared" si="20"/>
        <v>1336</v>
      </c>
      <c r="B1337" s="12">
        <v>8130090112</v>
      </c>
      <c r="C1337" s="55" t="s">
        <v>1408</v>
      </c>
      <c r="D1337" s="30"/>
      <c r="E1337" s="30"/>
      <c r="F1337" s="11" t="s">
        <v>11</v>
      </c>
      <c r="G1337" s="43">
        <v>85405.814010912902</v>
      </c>
      <c r="H1337" s="31">
        <v>76942.174784606206</v>
      </c>
      <c r="I1337" s="13" t="s">
        <v>359</v>
      </c>
      <c r="J1337" s="13" t="s">
        <v>360</v>
      </c>
      <c r="K1337" s="14" t="s">
        <v>1440</v>
      </c>
      <c r="L1337" s="12" t="s">
        <v>1406</v>
      </c>
      <c r="M1337" s="12" t="s">
        <v>11</v>
      </c>
      <c r="N1337" s="15" t="s">
        <v>1267</v>
      </c>
      <c r="O1337" s="15" t="s">
        <v>1189</v>
      </c>
      <c r="P1337" s="12" t="s">
        <v>1397</v>
      </c>
      <c r="Q1337" s="16">
        <v>2958465</v>
      </c>
      <c r="R1337"/>
      <c r="S1337"/>
      <c r="T1337"/>
    </row>
    <row r="1338" spans="1:20" s="36" customFormat="1">
      <c r="A1338" s="11">
        <f t="shared" si="20"/>
        <v>1337</v>
      </c>
      <c r="B1338" s="53">
        <v>8130090113</v>
      </c>
      <c r="C1338" s="53" t="s">
        <v>1409</v>
      </c>
      <c r="D1338" s="53"/>
      <c r="E1338" s="53"/>
      <c r="F1338" s="53" t="s">
        <v>11</v>
      </c>
      <c r="G1338" s="53">
        <v>76916.950278248696</v>
      </c>
      <c r="H1338" s="53">
        <v>69294.549800224049</v>
      </c>
      <c r="I1338" s="53" t="s">
        <v>359</v>
      </c>
      <c r="J1338" s="53" t="s">
        <v>360</v>
      </c>
      <c r="K1338" s="53" t="s">
        <v>1440</v>
      </c>
      <c r="L1338" s="53" t="s">
        <v>1406</v>
      </c>
      <c r="M1338" s="53" t="s">
        <v>11</v>
      </c>
      <c r="N1338" s="53" t="s">
        <v>1267</v>
      </c>
      <c r="O1338" s="53" t="s">
        <v>1189</v>
      </c>
      <c r="P1338" s="53" t="s">
        <v>1397</v>
      </c>
      <c r="Q1338" s="53">
        <v>2958465</v>
      </c>
      <c r="R1338"/>
      <c r="S1338"/>
      <c r="T1338"/>
    </row>
    <row r="1339" spans="1:20">
      <c r="A1339" s="11">
        <f t="shared" si="20"/>
        <v>1338</v>
      </c>
      <c r="B1339" s="53" t="s">
        <v>1449</v>
      </c>
      <c r="C1339" s="53" t="s">
        <v>1458</v>
      </c>
      <c r="D1339" s="53"/>
      <c r="E1339" s="53"/>
      <c r="F1339" s="53" t="s">
        <v>11</v>
      </c>
      <c r="G1339" s="53">
        <v>4899.5400000000009</v>
      </c>
      <c r="H1339" s="53">
        <v>4414</v>
      </c>
      <c r="I1339" s="53"/>
      <c r="J1339" s="53"/>
      <c r="K1339" s="53"/>
      <c r="L1339" s="53"/>
      <c r="M1339" s="53"/>
      <c r="N1339" s="53"/>
      <c r="O1339" s="53"/>
      <c r="P1339" s="53"/>
      <c r="Q1339" s="53">
        <v>2958465</v>
      </c>
    </row>
    <row r="1340" spans="1:20">
      <c r="A1340" s="11">
        <f t="shared" si="20"/>
        <v>1339</v>
      </c>
      <c r="B1340" s="53" t="s">
        <v>1450</v>
      </c>
      <c r="C1340" s="53" t="s">
        <v>1459</v>
      </c>
      <c r="D1340" s="53"/>
      <c r="E1340" s="53"/>
      <c r="F1340" s="53" t="s">
        <v>11</v>
      </c>
      <c r="G1340" s="53">
        <v>7149.51</v>
      </c>
      <c r="H1340" s="53">
        <v>6441</v>
      </c>
      <c r="I1340" s="53"/>
      <c r="J1340" s="53"/>
      <c r="K1340" s="53"/>
      <c r="L1340" s="53"/>
      <c r="M1340" s="53"/>
      <c r="N1340" s="53"/>
      <c r="O1340" s="53"/>
      <c r="P1340" s="53"/>
      <c r="Q1340" s="53">
        <v>2958465</v>
      </c>
    </row>
    <row r="1341" spans="1:20">
      <c r="A1341" s="11">
        <f t="shared" si="20"/>
        <v>1340</v>
      </c>
      <c r="B1341" s="53" t="s">
        <v>1451</v>
      </c>
      <c r="C1341" s="53" t="s">
        <v>1460</v>
      </c>
      <c r="D1341" s="53"/>
      <c r="E1341" s="53"/>
      <c r="F1341" s="53" t="s">
        <v>11</v>
      </c>
      <c r="G1341" s="53">
        <v>12000.210000000001</v>
      </c>
      <c r="H1341" s="53">
        <v>10811</v>
      </c>
      <c r="I1341" s="53"/>
      <c r="J1341" s="53"/>
      <c r="K1341" s="53"/>
      <c r="L1341" s="53"/>
      <c r="M1341" s="53"/>
      <c r="N1341" s="53"/>
      <c r="O1341" s="53"/>
      <c r="P1341" s="53"/>
      <c r="Q1341" s="53">
        <v>2958465</v>
      </c>
    </row>
    <row r="1342" spans="1:20">
      <c r="A1342" s="11">
        <f t="shared" si="20"/>
        <v>1341</v>
      </c>
      <c r="B1342" s="53" t="s">
        <v>1452</v>
      </c>
      <c r="C1342" s="53" t="s">
        <v>1461</v>
      </c>
      <c r="D1342" s="53"/>
      <c r="E1342" s="53"/>
      <c r="F1342" s="53" t="s">
        <v>11</v>
      </c>
      <c r="G1342" s="53">
        <v>18299.460000000003</v>
      </c>
      <c r="H1342" s="53">
        <v>16486</v>
      </c>
      <c r="I1342" s="53"/>
      <c r="J1342" s="53"/>
      <c r="K1342" s="53"/>
      <c r="L1342" s="53"/>
      <c r="M1342" s="53"/>
      <c r="N1342" s="53"/>
      <c r="O1342" s="53"/>
      <c r="P1342" s="53"/>
      <c r="Q1342" s="53">
        <v>2958465</v>
      </c>
    </row>
    <row r="1343" spans="1:20">
      <c r="A1343" s="11">
        <f t="shared" si="20"/>
        <v>1342</v>
      </c>
      <c r="B1343" s="53" t="s">
        <v>1453</v>
      </c>
      <c r="C1343" s="53" t="s">
        <v>1462</v>
      </c>
      <c r="D1343" s="53"/>
      <c r="E1343" s="53"/>
      <c r="F1343" s="53" t="s">
        <v>11</v>
      </c>
      <c r="G1343" s="53">
        <v>25200.33</v>
      </c>
      <c r="H1343" s="53">
        <v>22703</v>
      </c>
      <c r="I1343" s="53"/>
      <c r="J1343" s="53"/>
      <c r="K1343" s="53"/>
      <c r="L1343" s="53"/>
      <c r="M1343" s="53"/>
      <c r="N1343" s="53"/>
      <c r="O1343" s="53"/>
      <c r="P1343" s="53"/>
      <c r="Q1343" s="53">
        <v>2958465</v>
      </c>
    </row>
    <row r="1344" spans="1:20">
      <c r="A1344" s="11">
        <f t="shared" si="20"/>
        <v>1343</v>
      </c>
      <c r="B1344" s="53" t="s">
        <v>1454</v>
      </c>
      <c r="C1344" s="53" t="s">
        <v>1463</v>
      </c>
      <c r="D1344" s="53"/>
      <c r="E1344" s="53"/>
      <c r="F1344" s="53" t="s">
        <v>11</v>
      </c>
      <c r="G1344" s="53">
        <v>37799.94</v>
      </c>
      <c r="H1344" s="53">
        <v>34054</v>
      </c>
      <c r="I1344" s="53"/>
      <c r="J1344" s="53"/>
      <c r="K1344" s="53"/>
      <c r="L1344" s="53"/>
      <c r="M1344" s="53"/>
      <c r="N1344" s="53"/>
      <c r="O1344" s="53"/>
      <c r="P1344" s="53"/>
      <c r="Q1344" s="53">
        <v>2958465</v>
      </c>
    </row>
    <row r="1345" spans="1:17">
      <c r="A1345" s="11">
        <f t="shared" si="20"/>
        <v>1344</v>
      </c>
      <c r="B1345" s="53" t="s">
        <v>1455</v>
      </c>
      <c r="C1345" s="53" t="s">
        <v>1464</v>
      </c>
      <c r="D1345" s="53"/>
      <c r="E1345" s="53"/>
      <c r="F1345" s="53" t="s">
        <v>11</v>
      </c>
      <c r="G1345" s="53">
        <v>65000.490000000005</v>
      </c>
      <c r="H1345" s="53">
        <v>58559</v>
      </c>
      <c r="I1345" s="53"/>
      <c r="J1345" s="53"/>
      <c r="K1345" s="53"/>
      <c r="L1345" s="53"/>
      <c r="M1345" s="53"/>
      <c r="N1345" s="53"/>
      <c r="O1345" s="53"/>
      <c r="P1345" s="53"/>
      <c r="Q1345" s="53">
        <v>2958465</v>
      </c>
    </row>
    <row r="1346" spans="1:17">
      <c r="A1346" s="11">
        <f t="shared" si="20"/>
        <v>1345</v>
      </c>
      <c r="B1346" s="53" t="s">
        <v>1456</v>
      </c>
      <c r="C1346" s="53" t="s">
        <v>1465</v>
      </c>
      <c r="D1346" s="53"/>
      <c r="E1346" s="53"/>
      <c r="F1346" s="53" t="s">
        <v>11</v>
      </c>
      <c r="G1346" s="53">
        <v>117999.66</v>
      </c>
      <c r="H1346" s="53">
        <v>106306</v>
      </c>
      <c r="I1346" s="53"/>
      <c r="J1346" s="53"/>
      <c r="K1346" s="53"/>
      <c r="L1346" s="53"/>
      <c r="M1346" s="53"/>
      <c r="N1346" s="53"/>
      <c r="O1346" s="53"/>
      <c r="P1346" s="53"/>
      <c r="Q1346" s="53">
        <v>2958465</v>
      </c>
    </row>
    <row r="1347" spans="1:17">
      <c r="A1347" s="11">
        <f t="shared" si="20"/>
        <v>1346</v>
      </c>
      <c r="B1347" s="53" t="s">
        <v>1457</v>
      </c>
      <c r="C1347" s="53" t="s">
        <v>1466</v>
      </c>
      <c r="D1347" s="53"/>
      <c r="E1347" s="53"/>
      <c r="F1347" s="53" t="s">
        <v>11</v>
      </c>
      <c r="G1347" s="53">
        <v>216000.45</v>
      </c>
      <c r="H1347" s="53">
        <v>194595</v>
      </c>
      <c r="I1347" s="53"/>
      <c r="J1347" s="53"/>
      <c r="K1347" s="53"/>
      <c r="L1347" s="53"/>
      <c r="M1347" s="53"/>
      <c r="N1347" s="53"/>
      <c r="O1347" s="53"/>
      <c r="P1347" s="53"/>
      <c r="Q1347" s="53">
        <v>2958465</v>
      </c>
    </row>
    <row r="1348" spans="1:17">
      <c r="A1348" s="11">
        <f t="shared" si="20"/>
        <v>1347</v>
      </c>
      <c r="B1348" s="53">
        <v>102322</v>
      </c>
      <c r="C1348" s="53" t="s">
        <v>1478</v>
      </c>
      <c r="D1348" s="53"/>
      <c r="E1348" s="53"/>
      <c r="F1348" s="53" t="s">
        <v>11</v>
      </c>
      <c r="G1348" s="53">
        <v>0</v>
      </c>
      <c r="H1348" s="53">
        <v>0</v>
      </c>
      <c r="I1348" s="53"/>
      <c r="J1348" s="53"/>
      <c r="K1348" s="53"/>
      <c r="L1348" s="53"/>
      <c r="M1348" s="53"/>
      <c r="N1348" s="53"/>
      <c r="O1348" s="53"/>
      <c r="P1348" s="53"/>
      <c r="Q1348" s="53"/>
    </row>
    <row r="1349" spans="1:17">
      <c r="A1349" s="11">
        <f t="shared" ref="A1349:A1412" si="21">ROW()-1</f>
        <v>1348</v>
      </c>
      <c r="B1349" s="53">
        <v>80516340</v>
      </c>
      <c r="C1349" s="53" t="s">
        <v>1479</v>
      </c>
      <c r="D1349" s="53"/>
      <c r="E1349" s="53"/>
      <c r="F1349" s="53" t="s">
        <v>11</v>
      </c>
      <c r="G1349" s="53">
        <v>89700</v>
      </c>
      <c r="H1349" s="53">
        <v>80810.810810810799</v>
      </c>
      <c r="I1349" s="53"/>
      <c r="J1349" s="53"/>
      <c r="K1349" s="53"/>
      <c r="L1349" s="53"/>
      <c r="M1349" s="53"/>
      <c r="N1349" s="53"/>
      <c r="O1349" s="53"/>
      <c r="P1349" s="53"/>
      <c r="Q1349" s="53"/>
    </row>
    <row r="1350" spans="1:17">
      <c r="A1350" s="11">
        <f t="shared" si="21"/>
        <v>1349</v>
      </c>
      <c r="B1350" s="53">
        <v>80516341</v>
      </c>
      <c r="C1350" s="53" t="s">
        <v>1480</v>
      </c>
      <c r="D1350" s="53"/>
      <c r="E1350" s="53"/>
      <c r="F1350" s="53" t="s">
        <v>11</v>
      </c>
      <c r="G1350" s="53">
        <v>175900</v>
      </c>
      <c r="H1350" s="53">
        <v>158468.46846846846</v>
      </c>
      <c r="I1350" s="53"/>
      <c r="J1350" s="53"/>
      <c r="K1350" s="53"/>
      <c r="L1350" s="53"/>
      <c r="M1350" s="53"/>
      <c r="N1350" s="53"/>
      <c r="O1350" s="53"/>
      <c r="P1350" s="53"/>
      <c r="Q1350" s="53"/>
    </row>
    <row r="1351" spans="1:17">
      <c r="A1351" s="11">
        <f t="shared" si="21"/>
        <v>1350</v>
      </c>
      <c r="B1351" s="53">
        <v>102321</v>
      </c>
      <c r="C1351" s="53" t="s">
        <v>1481</v>
      </c>
      <c r="D1351" s="53"/>
      <c r="E1351" s="53"/>
      <c r="F1351" s="53" t="s">
        <v>11</v>
      </c>
      <c r="G1351" s="53">
        <v>0</v>
      </c>
      <c r="H1351" s="53">
        <v>0</v>
      </c>
      <c r="I1351" s="53"/>
      <c r="J1351" s="53"/>
      <c r="K1351" s="53"/>
      <c r="L1351" s="53"/>
      <c r="M1351" s="53"/>
      <c r="N1351" s="53"/>
      <c r="O1351" s="53"/>
      <c r="P1351" s="53"/>
      <c r="Q1351" s="53"/>
    </row>
    <row r="1352" spans="1:17">
      <c r="A1352" s="11">
        <f t="shared" si="21"/>
        <v>1351</v>
      </c>
      <c r="B1352" s="53">
        <v>80516431</v>
      </c>
      <c r="C1352" s="53" t="s">
        <v>1482</v>
      </c>
      <c r="D1352" s="53"/>
      <c r="E1352" s="53"/>
      <c r="F1352" s="53" t="s">
        <v>11</v>
      </c>
      <c r="G1352" s="53">
        <v>51500</v>
      </c>
      <c r="H1352" s="53">
        <v>46396.396396396391</v>
      </c>
      <c r="I1352" s="53"/>
      <c r="J1352" s="53"/>
      <c r="K1352" s="53"/>
      <c r="L1352" s="53"/>
      <c r="M1352" s="53"/>
      <c r="N1352" s="53"/>
      <c r="O1352" s="53"/>
      <c r="P1352" s="53"/>
      <c r="Q1352" s="53"/>
    </row>
    <row r="1353" spans="1:17">
      <c r="A1353" s="11">
        <f t="shared" si="21"/>
        <v>1352</v>
      </c>
      <c r="B1353" s="53">
        <v>80516433</v>
      </c>
      <c r="C1353" s="53" t="s">
        <v>1483</v>
      </c>
      <c r="D1353" s="53"/>
      <c r="E1353" s="53"/>
      <c r="F1353" s="53" t="s">
        <v>11</v>
      </c>
      <c r="G1353" s="53">
        <v>0</v>
      </c>
      <c r="H1353" s="53">
        <v>0</v>
      </c>
      <c r="I1353" s="53"/>
      <c r="J1353" s="53"/>
      <c r="K1353" s="53"/>
      <c r="L1353" s="53"/>
      <c r="M1353" s="53"/>
      <c r="N1353" s="53"/>
      <c r="O1353" s="53"/>
      <c r="P1353" s="53"/>
      <c r="Q1353" s="53"/>
    </row>
    <row r="1354" spans="1:17">
      <c r="A1354" s="11">
        <f t="shared" si="21"/>
        <v>1353</v>
      </c>
      <c r="B1354" s="53">
        <v>80516429</v>
      </c>
      <c r="C1354" s="53" t="s">
        <v>1484</v>
      </c>
      <c r="D1354" s="53"/>
      <c r="E1354" s="53"/>
      <c r="F1354" s="53" t="s">
        <v>11</v>
      </c>
      <c r="G1354" s="53">
        <v>14100</v>
      </c>
      <c r="H1354" s="53">
        <v>12702.702702702702</v>
      </c>
      <c r="I1354" s="53"/>
      <c r="J1354" s="53"/>
      <c r="K1354" s="53"/>
      <c r="L1354" s="53"/>
      <c r="M1354" s="53"/>
      <c r="N1354" s="53"/>
      <c r="O1354" s="53"/>
      <c r="P1354" s="53"/>
      <c r="Q1354" s="53"/>
    </row>
    <row r="1355" spans="1:17">
      <c r="A1355" s="11">
        <f t="shared" si="21"/>
        <v>1354</v>
      </c>
      <c r="B1355" s="53">
        <v>80516430</v>
      </c>
      <c r="C1355" s="53" t="s">
        <v>1485</v>
      </c>
      <c r="D1355" s="53"/>
      <c r="E1355" s="53"/>
      <c r="F1355" s="53" t="s">
        <v>11</v>
      </c>
      <c r="G1355" s="53">
        <v>31000</v>
      </c>
      <c r="H1355" s="53">
        <v>27927.927927927925</v>
      </c>
      <c r="I1355" s="53"/>
      <c r="J1355" s="53"/>
      <c r="K1355" s="53"/>
      <c r="L1355" s="53"/>
      <c r="M1355" s="53"/>
      <c r="N1355" s="53"/>
      <c r="O1355" s="53"/>
      <c r="P1355" s="53"/>
      <c r="Q1355" s="53"/>
    </row>
    <row r="1356" spans="1:17">
      <c r="A1356" s="11">
        <f t="shared" si="21"/>
        <v>1355</v>
      </c>
      <c r="B1356" s="53">
        <v>80516432</v>
      </c>
      <c r="C1356" s="53" t="s">
        <v>1486</v>
      </c>
      <c r="D1356" s="53"/>
      <c r="E1356" s="53"/>
      <c r="F1356" s="53" t="s">
        <v>11</v>
      </c>
      <c r="G1356" s="53">
        <v>134900</v>
      </c>
      <c r="H1356" s="53">
        <v>121531.53153153152</v>
      </c>
      <c r="I1356" s="53"/>
      <c r="J1356" s="53"/>
      <c r="K1356" s="53"/>
      <c r="L1356" s="53"/>
      <c r="M1356" s="53"/>
      <c r="N1356" s="53"/>
      <c r="O1356" s="53"/>
      <c r="P1356" s="53"/>
      <c r="Q1356" s="53"/>
    </row>
    <row r="1357" spans="1:17">
      <c r="A1357" s="11">
        <f t="shared" si="21"/>
        <v>1356</v>
      </c>
      <c r="B1357" s="53">
        <v>80516204</v>
      </c>
      <c r="C1357" s="53" t="s">
        <v>1487</v>
      </c>
      <c r="D1357" s="53"/>
      <c r="E1357" s="53"/>
      <c r="F1357" s="53" t="s">
        <v>11</v>
      </c>
      <c r="G1357" s="53">
        <v>6300</v>
      </c>
      <c r="H1357" s="53">
        <v>5675.6756756756749</v>
      </c>
      <c r="I1357" s="53"/>
      <c r="J1357" s="53"/>
      <c r="K1357" s="53"/>
      <c r="L1357" s="53"/>
      <c r="M1357" s="53"/>
      <c r="N1357" s="53"/>
      <c r="O1357" s="53"/>
      <c r="P1357" s="53"/>
      <c r="Q1357" s="53"/>
    </row>
    <row r="1358" spans="1:17">
      <c r="A1358" s="11">
        <f t="shared" si="21"/>
        <v>1357</v>
      </c>
      <c r="B1358" s="53">
        <v>80516203</v>
      </c>
      <c r="C1358" s="53" t="s">
        <v>1488</v>
      </c>
      <c r="D1358" s="53"/>
      <c r="E1358" s="53"/>
      <c r="F1358" s="53" t="s">
        <v>11</v>
      </c>
      <c r="G1358" s="53">
        <v>3800</v>
      </c>
      <c r="H1358" s="53">
        <v>3423.4234234234232</v>
      </c>
      <c r="I1358" s="53"/>
      <c r="J1358" s="53"/>
      <c r="K1358" s="53"/>
      <c r="L1358" s="53"/>
      <c r="M1358" s="53"/>
      <c r="N1358" s="53"/>
      <c r="O1358" s="53"/>
      <c r="P1358" s="53"/>
      <c r="Q1358" s="53"/>
    </row>
    <row r="1359" spans="1:17">
      <c r="A1359" s="11">
        <f t="shared" si="21"/>
        <v>1358</v>
      </c>
      <c r="B1359" s="53">
        <v>80516207</v>
      </c>
      <c r="C1359" s="53" t="s">
        <v>1489</v>
      </c>
      <c r="D1359" s="53"/>
      <c r="E1359" s="53"/>
      <c r="F1359" s="53" t="s">
        <v>11</v>
      </c>
      <c r="G1359" s="53">
        <v>23299.999999999996</v>
      </c>
      <c r="H1359" s="53">
        <v>20990.990990990987</v>
      </c>
      <c r="I1359" s="53"/>
      <c r="J1359" s="53"/>
      <c r="K1359" s="53"/>
      <c r="L1359" s="53"/>
      <c r="M1359" s="53"/>
      <c r="N1359" s="53"/>
      <c r="O1359" s="53"/>
      <c r="P1359" s="53"/>
      <c r="Q1359" s="53"/>
    </row>
    <row r="1360" spans="1:17">
      <c r="A1360" s="11">
        <f t="shared" si="21"/>
        <v>1359</v>
      </c>
      <c r="B1360" s="53">
        <v>80516206</v>
      </c>
      <c r="C1360" s="53" t="s">
        <v>1490</v>
      </c>
      <c r="D1360" s="53"/>
      <c r="E1360" s="53"/>
      <c r="F1360" s="53" t="s">
        <v>11</v>
      </c>
      <c r="G1360" s="53">
        <v>14000</v>
      </c>
      <c r="H1360" s="53">
        <v>12612.612612612611</v>
      </c>
      <c r="I1360" s="53"/>
      <c r="J1360" s="53"/>
      <c r="K1360" s="53"/>
      <c r="L1360" s="53"/>
      <c r="M1360" s="53"/>
      <c r="N1360" s="53"/>
      <c r="O1360" s="53"/>
      <c r="P1360" s="53"/>
      <c r="Q1360" s="53"/>
    </row>
    <row r="1361" spans="1:17">
      <c r="A1361" s="11">
        <f t="shared" si="21"/>
        <v>1360</v>
      </c>
      <c r="B1361" s="53">
        <v>80516455</v>
      </c>
      <c r="C1361" s="53" t="s">
        <v>1491</v>
      </c>
      <c r="D1361" s="53"/>
      <c r="E1361" s="53"/>
      <c r="F1361" s="53" t="s">
        <v>11</v>
      </c>
      <c r="G1361" s="53">
        <v>280800</v>
      </c>
      <c r="H1361" s="53">
        <v>252972.97297297296</v>
      </c>
      <c r="I1361" s="53"/>
      <c r="J1361" s="53"/>
      <c r="K1361" s="53"/>
      <c r="L1361" s="53"/>
      <c r="M1361" s="53"/>
      <c r="N1361" s="53"/>
      <c r="O1361" s="53"/>
      <c r="P1361" s="53"/>
      <c r="Q1361" s="53"/>
    </row>
    <row r="1362" spans="1:17">
      <c r="A1362" s="11">
        <f t="shared" si="21"/>
        <v>1361</v>
      </c>
      <c r="B1362" s="53">
        <v>80516222</v>
      </c>
      <c r="C1362" s="53" t="s">
        <v>1492</v>
      </c>
      <c r="D1362" s="53"/>
      <c r="E1362" s="53"/>
      <c r="F1362" s="53" t="s">
        <v>11</v>
      </c>
      <c r="G1362" s="53">
        <v>491400</v>
      </c>
      <c r="H1362" s="53">
        <v>442702.70270270266</v>
      </c>
      <c r="I1362" s="53"/>
      <c r="J1362" s="53"/>
      <c r="K1362" s="53"/>
      <c r="L1362" s="53"/>
      <c r="M1362" s="53"/>
      <c r="N1362" s="53"/>
      <c r="O1362" s="53"/>
      <c r="P1362" s="53"/>
      <c r="Q1362" s="53"/>
    </row>
    <row r="1363" spans="1:17">
      <c r="A1363" s="11">
        <f t="shared" si="21"/>
        <v>1362</v>
      </c>
      <c r="B1363" s="53">
        <v>80516499</v>
      </c>
      <c r="C1363" s="53" t="s">
        <v>1493</v>
      </c>
      <c r="D1363" s="53"/>
      <c r="E1363" s="53"/>
      <c r="F1363" s="53" t="s">
        <v>11</v>
      </c>
      <c r="G1363" s="53">
        <v>51200</v>
      </c>
      <c r="H1363" s="53">
        <v>46126.126126126124</v>
      </c>
      <c r="I1363" s="53"/>
      <c r="J1363" s="53"/>
      <c r="K1363" s="53"/>
      <c r="L1363" s="53"/>
      <c r="M1363" s="53"/>
      <c r="N1363" s="53"/>
      <c r="O1363" s="53"/>
      <c r="P1363" s="53"/>
      <c r="Q1363" s="53"/>
    </row>
    <row r="1364" spans="1:17">
      <c r="A1364" s="11">
        <f t="shared" si="21"/>
        <v>1363</v>
      </c>
      <c r="B1364" s="53">
        <v>80516500</v>
      </c>
      <c r="C1364" s="53" t="s">
        <v>1494</v>
      </c>
      <c r="D1364" s="53"/>
      <c r="E1364" s="53"/>
      <c r="F1364" s="53" t="s">
        <v>11</v>
      </c>
      <c r="G1364" s="53">
        <v>99100</v>
      </c>
      <c r="H1364" s="53">
        <v>89279.279279279275</v>
      </c>
      <c r="I1364" s="53"/>
      <c r="J1364" s="53"/>
      <c r="K1364" s="53"/>
      <c r="L1364" s="53"/>
      <c r="M1364" s="53"/>
      <c r="N1364" s="53"/>
      <c r="O1364" s="53"/>
      <c r="P1364" s="53"/>
      <c r="Q1364" s="53"/>
    </row>
    <row r="1365" spans="1:17">
      <c r="A1365" s="11">
        <f t="shared" si="21"/>
        <v>1364</v>
      </c>
      <c r="B1365" s="53" t="s">
        <v>1475</v>
      </c>
      <c r="C1365" s="53" t="s">
        <v>1495</v>
      </c>
      <c r="D1365" s="53"/>
      <c r="E1365" s="53"/>
      <c r="F1365" s="53" t="s">
        <v>11</v>
      </c>
      <c r="G1365" s="53">
        <v>9800</v>
      </c>
      <c r="H1365" s="53">
        <v>8828.8288288288277</v>
      </c>
      <c r="I1365" s="53"/>
      <c r="J1365" s="53"/>
      <c r="K1365" s="53"/>
      <c r="L1365" s="53"/>
      <c r="M1365" s="53"/>
      <c r="N1365" s="53"/>
      <c r="O1365" s="53"/>
      <c r="P1365" s="53"/>
      <c r="Q1365" s="53"/>
    </row>
    <row r="1366" spans="1:17">
      <c r="A1366" s="11">
        <f t="shared" si="21"/>
        <v>1365</v>
      </c>
      <c r="B1366" s="53">
        <v>80516501</v>
      </c>
      <c r="C1366" s="53" t="s">
        <v>1496</v>
      </c>
      <c r="D1366" s="53"/>
      <c r="E1366" s="53"/>
      <c r="F1366" s="53" t="s">
        <v>11</v>
      </c>
      <c r="G1366" s="53">
        <v>218600</v>
      </c>
      <c r="H1366" s="53">
        <v>196936.93693693692</v>
      </c>
      <c r="I1366" s="53"/>
      <c r="J1366" s="53"/>
      <c r="K1366" s="53"/>
      <c r="L1366" s="53"/>
      <c r="M1366" s="53"/>
      <c r="N1366" s="53"/>
      <c r="O1366" s="53"/>
      <c r="P1366" s="53"/>
      <c r="Q1366" s="53"/>
    </row>
    <row r="1367" spans="1:17">
      <c r="A1367" s="11">
        <f t="shared" si="21"/>
        <v>1366</v>
      </c>
      <c r="B1367" s="53">
        <v>80516213</v>
      </c>
      <c r="C1367" s="53" t="s">
        <v>1497</v>
      </c>
      <c r="D1367" s="53"/>
      <c r="E1367" s="53"/>
      <c r="F1367" s="53" t="s">
        <v>11</v>
      </c>
      <c r="G1367" s="53">
        <v>29400</v>
      </c>
      <c r="H1367" s="53">
        <v>26486.486486486483</v>
      </c>
      <c r="I1367" s="53"/>
      <c r="J1367" s="53"/>
      <c r="K1367" s="53"/>
      <c r="L1367" s="53"/>
      <c r="M1367" s="53"/>
      <c r="N1367" s="53"/>
      <c r="O1367" s="53"/>
      <c r="P1367" s="53"/>
      <c r="Q1367" s="53"/>
    </row>
    <row r="1368" spans="1:17">
      <c r="A1368" s="11">
        <f t="shared" si="21"/>
        <v>1367</v>
      </c>
      <c r="B1368" s="53">
        <v>80516217</v>
      </c>
      <c r="C1368" s="53" t="s">
        <v>1498</v>
      </c>
      <c r="D1368" s="53"/>
      <c r="E1368" s="53"/>
      <c r="F1368" s="53" t="s">
        <v>11</v>
      </c>
      <c r="G1368" s="53">
        <v>19300</v>
      </c>
      <c r="H1368" s="53">
        <v>17387.387387387385</v>
      </c>
      <c r="I1368" s="53"/>
      <c r="J1368" s="53"/>
      <c r="K1368" s="53"/>
      <c r="L1368" s="53"/>
      <c r="M1368" s="53"/>
      <c r="N1368" s="53"/>
      <c r="O1368" s="53"/>
      <c r="P1368" s="53"/>
      <c r="Q1368" s="53"/>
    </row>
    <row r="1369" spans="1:17">
      <c r="A1369" s="11">
        <f t="shared" si="21"/>
        <v>1368</v>
      </c>
      <c r="B1369" s="53">
        <v>80516218</v>
      </c>
      <c r="C1369" s="53" t="s">
        <v>1499</v>
      </c>
      <c r="D1369" s="53"/>
      <c r="E1369" s="53"/>
      <c r="F1369" s="53" t="s">
        <v>11</v>
      </c>
      <c r="G1369" s="53">
        <v>46300</v>
      </c>
      <c r="H1369" s="53">
        <v>41711.711711711709</v>
      </c>
      <c r="I1369" s="53"/>
      <c r="J1369" s="53"/>
      <c r="K1369" s="53"/>
      <c r="L1369" s="53"/>
      <c r="M1369" s="53"/>
      <c r="N1369" s="53"/>
      <c r="O1369" s="53"/>
      <c r="P1369" s="53"/>
      <c r="Q1369" s="53"/>
    </row>
    <row r="1370" spans="1:17">
      <c r="A1370" s="11">
        <f t="shared" si="21"/>
        <v>1369</v>
      </c>
      <c r="B1370" s="53">
        <v>80516465</v>
      </c>
      <c r="C1370" s="53" t="s">
        <v>1500</v>
      </c>
      <c r="D1370" s="53"/>
      <c r="E1370" s="53"/>
      <c r="F1370" s="53" t="s">
        <v>11</v>
      </c>
      <c r="G1370" s="53">
        <v>207400</v>
      </c>
      <c r="H1370" s="53">
        <v>186846.84684684683</v>
      </c>
      <c r="I1370" s="53"/>
      <c r="J1370" s="53"/>
      <c r="K1370" s="53"/>
      <c r="L1370" s="53"/>
      <c r="M1370" s="53"/>
      <c r="N1370" s="53"/>
      <c r="O1370" s="53"/>
      <c r="P1370" s="53"/>
      <c r="Q1370" s="53"/>
    </row>
    <row r="1371" spans="1:17">
      <c r="A1371" s="11">
        <f t="shared" si="21"/>
        <v>1370</v>
      </c>
      <c r="B1371" s="53">
        <v>80576829</v>
      </c>
      <c r="C1371" s="53" t="s">
        <v>1501</v>
      </c>
      <c r="D1371" s="53"/>
      <c r="E1371" s="53"/>
      <c r="F1371" s="53" t="s">
        <v>11</v>
      </c>
      <c r="G1371" s="53">
        <v>0</v>
      </c>
      <c r="H1371" s="53">
        <v>0</v>
      </c>
      <c r="I1371" s="53"/>
      <c r="J1371" s="53"/>
      <c r="K1371" s="53"/>
      <c r="L1371" s="53"/>
      <c r="M1371" s="53"/>
      <c r="N1371" s="53"/>
      <c r="O1371" s="53"/>
      <c r="P1371" s="53"/>
      <c r="Q1371" s="53"/>
    </row>
    <row r="1372" spans="1:17">
      <c r="A1372" s="11">
        <f t="shared" si="21"/>
        <v>1371</v>
      </c>
      <c r="B1372" s="53">
        <v>80516262</v>
      </c>
      <c r="C1372" s="53" t="s">
        <v>1502</v>
      </c>
      <c r="D1372" s="53"/>
      <c r="E1372" s="53"/>
      <c r="F1372" s="53" t="s">
        <v>11</v>
      </c>
      <c r="G1372" s="53">
        <v>8100</v>
      </c>
      <c r="H1372" s="53">
        <v>7297.2972972972966</v>
      </c>
      <c r="I1372" s="53"/>
      <c r="J1372" s="53"/>
      <c r="K1372" s="53"/>
      <c r="L1372" s="53"/>
      <c r="M1372" s="53"/>
      <c r="N1372" s="53"/>
      <c r="O1372" s="53"/>
      <c r="P1372" s="53"/>
      <c r="Q1372" s="53"/>
    </row>
    <row r="1373" spans="1:17">
      <c r="A1373" s="11">
        <f t="shared" si="21"/>
        <v>1372</v>
      </c>
      <c r="B1373" s="53">
        <v>80516467</v>
      </c>
      <c r="C1373" s="53" t="s">
        <v>1503</v>
      </c>
      <c r="D1373" s="53"/>
      <c r="E1373" s="53"/>
      <c r="F1373" s="53" t="s">
        <v>11</v>
      </c>
      <c r="G1373" s="53">
        <v>624100</v>
      </c>
      <c r="H1373" s="53">
        <v>562252.25225225219</v>
      </c>
      <c r="I1373" s="53"/>
      <c r="J1373" s="53"/>
      <c r="K1373" s="53"/>
      <c r="L1373" s="53"/>
      <c r="M1373" s="53"/>
      <c r="N1373" s="53"/>
      <c r="O1373" s="53"/>
      <c r="P1373" s="53"/>
      <c r="Q1373" s="53"/>
    </row>
    <row r="1374" spans="1:17">
      <c r="A1374" s="11">
        <f t="shared" si="21"/>
        <v>1373</v>
      </c>
      <c r="B1374" s="53">
        <v>102290</v>
      </c>
      <c r="C1374" s="53" t="s">
        <v>1504</v>
      </c>
      <c r="D1374" s="53"/>
      <c r="E1374" s="53"/>
      <c r="F1374" s="53" t="s">
        <v>11</v>
      </c>
      <c r="G1374" s="53">
        <v>11200</v>
      </c>
      <c r="H1374" s="53">
        <v>10090.090090090089</v>
      </c>
      <c r="I1374" s="53"/>
      <c r="J1374" s="53"/>
      <c r="K1374" s="53"/>
      <c r="L1374" s="53"/>
      <c r="M1374" s="53"/>
      <c r="N1374" s="53"/>
      <c r="O1374" s="53"/>
      <c r="P1374" s="53"/>
      <c r="Q1374" s="53"/>
    </row>
    <row r="1375" spans="1:17">
      <c r="A1375" s="11">
        <f t="shared" si="21"/>
        <v>1374</v>
      </c>
      <c r="B1375" s="53">
        <v>80516261</v>
      </c>
      <c r="C1375" s="53" t="s">
        <v>1505</v>
      </c>
      <c r="D1375" s="53"/>
      <c r="E1375" s="53"/>
      <c r="F1375" s="53" t="s">
        <v>11</v>
      </c>
      <c r="G1375" s="53">
        <v>4700</v>
      </c>
      <c r="H1375" s="53">
        <v>4234.2342342342336</v>
      </c>
      <c r="I1375" s="53"/>
      <c r="J1375" s="53"/>
      <c r="K1375" s="53"/>
      <c r="L1375" s="53"/>
      <c r="M1375" s="53"/>
      <c r="N1375" s="53"/>
      <c r="O1375" s="53"/>
      <c r="P1375" s="53"/>
      <c r="Q1375" s="53"/>
    </row>
    <row r="1376" spans="1:17">
      <c r="A1376" s="11">
        <f t="shared" si="21"/>
        <v>1375</v>
      </c>
      <c r="B1376" s="53">
        <v>80516265</v>
      </c>
      <c r="C1376" s="53" t="s">
        <v>1506</v>
      </c>
      <c r="D1376" s="53"/>
      <c r="E1376" s="53"/>
      <c r="F1376" s="53" t="s">
        <v>11</v>
      </c>
      <c r="G1376" s="53">
        <v>26700</v>
      </c>
      <c r="H1376" s="53">
        <v>24054.054054054053</v>
      </c>
      <c r="I1376" s="53"/>
      <c r="J1376" s="53"/>
      <c r="K1376" s="53"/>
      <c r="L1376" s="53"/>
      <c r="M1376" s="53"/>
      <c r="N1376" s="53"/>
      <c r="O1376" s="53"/>
      <c r="P1376" s="53"/>
      <c r="Q1376" s="53"/>
    </row>
    <row r="1377" spans="1:17">
      <c r="A1377" s="11">
        <f t="shared" si="21"/>
        <v>1376</v>
      </c>
      <c r="B1377" s="53">
        <v>80516264</v>
      </c>
      <c r="C1377" s="53" t="s">
        <v>1507</v>
      </c>
      <c r="D1377" s="53"/>
      <c r="E1377" s="53"/>
      <c r="F1377" s="53" t="s">
        <v>11</v>
      </c>
      <c r="G1377" s="53">
        <v>16900</v>
      </c>
      <c r="H1377" s="53">
        <v>15225.225225225224</v>
      </c>
      <c r="I1377" s="53"/>
      <c r="J1377" s="53"/>
      <c r="K1377" s="53"/>
      <c r="L1377" s="53"/>
      <c r="M1377" s="53"/>
      <c r="N1377" s="53"/>
      <c r="O1377" s="53"/>
      <c r="P1377" s="53"/>
      <c r="Q1377" s="53"/>
    </row>
    <row r="1378" spans="1:17">
      <c r="A1378" s="11">
        <f t="shared" si="21"/>
        <v>1377</v>
      </c>
      <c r="B1378" s="53">
        <v>102296</v>
      </c>
      <c r="C1378" s="53" t="s">
        <v>1508</v>
      </c>
      <c r="D1378" s="53"/>
      <c r="E1378" s="53"/>
      <c r="F1378" s="53" t="s">
        <v>11</v>
      </c>
      <c r="G1378" s="53">
        <v>44400.000000000007</v>
      </c>
      <c r="H1378" s="53">
        <v>40000</v>
      </c>
      <c r="I1378" s="53"/>
      <c r="J1378" s="53"/>
      <c r="K1378" s="53"/>
      <c r="L1378" s="53"/>
      <c r="M1378" s="53"/>
      <c r="N1378" s="53"/>
      <c r="O1378" s="53"/>
      <c r="P1378" s="53"/>
      <c r="Q1378" s="53"/>
    </row>
    <row r="1379" spans="1:17">
      <c r="A1379" s="11">
        <f t="shared" si="21"/>
        <v>1378</v>
      </c>
      <c r="B1379" s="53">
        <v>80516463</v>
      </c>
      <c r="C1379" s="53" t="s">
        <v>1509</v>
      </c>
      <c r="D1379" s="53"/>
      <c r="E1379" s="53"/>
      <c r="F1379" s="53" t="s">
        <v>11</v>
      </c>
      <c r="G1379" s="53">
        <v>79200</v>
      </c>
      <c r="H1379" s="53">
        <v>71351.351351351346</v>
      </c>
      <c r="I1379" s="53"/>
      <c r="J1379" s="53"/>
      <c r="K1379" s="53"/>
      <c r="L1379" s="53"/>
      <c r="M1379" s="53"/>
      <c r="N1379" s="53"/>
      <c r="O1379" s="53"/>
      <c r="P1379" s="53"/>
      <c r="Q1379" s="53"/>
    </row>
    <row r="1380" spans="1:17">
      <c r="A1380" s="11">
        <f t="shared" si="21"/>
        <v>1379</v>
      </c>
      <c r="B1380" s="53">
        <v>80516269</v>
      </c>
      <c r="C1380" s="53" t="s">
        <v>1510</v>
      </c>
      <c r="D1380" s="53"/>
      <c r="E1380" s="53"/>
      <c r="F1380" s="53" t="s">
        <v>11</v>
      </c>
      <c r="G1380" s="53">
        <v>207500</v>
      </c>
      <c r="H1380" s="53">
        <v>186936.93693693692</v>
      </c>
      <c r="I1380" s="53"/>
      <c r="J1380" s="53"/>
      <c r="K1380" s="53"/>
      <c r="L1380" s="53"/>
      <c r="M1380" s="53"/>
      <c r="N1380" s="53"/>
      <c r="O1380" s="53"/>
      <c r="P1380" s="53"/>
      <c r="Q1380" s="53"/>
    </row>
    <row r="1381" spans="1:17">
      <c r="A1381" s="11">
        <f t="shared" si="21"/>
        <v>1380</v>
      </c>
      <c r="B1381" s="53">
        <v>80516270</v>
      </c>
      <c r="C1381" s="53" t="s">
        <v>1511</v>
      </c>
      <c r="D1381" s="53"/>
      <c r="E1381" s="53"/>
      <c r="F1381" s="53" t="s">
        <v>11</v>
      </c>
      <c r="G1381" s="53">
        <v>469800</v>
      </c>
      <c r="H1381" s="53">
        <v>423243.2432432432</v>
      </c>
      <c r="I1381" s="53"/>
      <c r="J1381" s="53"/>
      <c r="K1381" s="53"/>
      <c r="L1381" s="53"/>
      <c r="M1381" s="53"/>
      <c r="N1381" s="53"/>
      <c r="O1381" s="53"/>
      <c r="P1381" s="53"/>
      <c r="Q1381" s="53"/>
    </row>
    <row r="1382" spans="1:17">
      <c r="A1382" s="11">
        <f t="shared" si="21"/>
        <v>1381</v>
      </c>
      <c r="B1382" s="53">
        <v>80516357</v>
      </c>
      <c r="C1382" s="53" t="s">
        <v>1512</v>
      </c>
      <c r="D1382" s="53"/>
      <c r="E1382" s="53"/>
      <c r="F1382" s="53" t="s">
        <v>11</v>
      </c>
      <c r="G1382" s="53">
        <v>85500</v>
      </c>
      <c r="H1382" s="53">
        <v>77027.027027027027</v>
      </c>
      <c r="I1382" s="53"/>
      <c r="J1382" s="53"/>
      <c r="K1382" s="53"/>
      <c r="L1382" s="53"/>
      <c r="M1382" s="53"/>
      <c r="N1382" s="53"/>
      <c r="O1382" s="53"/>
      <c r="P1382" s="53"/>
      <c r="Q1382" s="53"/>
    </row>
    <row r="1383" spans="1:17">
      <c r="A1383" s="11">
        <f t="shared" si="21"/>
        <v>1382</v>
      </c>
      <c r="B1383" s="53">
        <v>80516355</v>
      </c>
      <c r="C1383" s="53" t="s">
        <v>1513</v>
      </c>
      <c r="D1383" s="53"/>
      <c r="E1383" s="53"/>
      <c r="F1383" s="53" t="s">
        <v>11</v>
      </c>
      <c r="G1383" s="53">
        <v>43700</v>
      </c>
      <c r="H1383" s="53">
        <v>39369.369369369364</v>
      </c>
      <c r="I1383" s="53"/>
      <c r="J1383" s="53"/>
      <c r="K1383" s="53"/>
      <c r="L1383" s="53"/>
      <c r="M1383" s="53"/>
      <c r="N1383" s="53"/>
      <c r="O1383" s="53"/>
      <c r="P1383" s="53"/>
      <c r="Q1383" s="53"/>
    </row>
    <row r="1384" spans="1:17">
      <c r="A1384" s="11">
        <f t="shared" si="21"/>
        <v>1383</v>
      </c>
      <c r="B1384" s="53">
        <v>80516562</v>
      </c>
      <c r="C1384" s="53" t="s">
        <v>1514</v>
      </c>
      <c r="D1384" s="53"/>
      <c r="E1384" s="53"/>
      <c r="F1384" s="53" t="s">
        <v>11</v>
      </c>
      <c r="G1384" s="53">
        <v>34200</v>
      </c>
      <c r="H1384" s="53">
        <v>30810.810810810806</v>
      </c>
      <c r="I1384" s="53"/>
      <c r="J1384" s="53"/>
      <c r="K1384" s="53"/>
      <c r="L1384" s="53"/>
      <c r="M1384" s="53"/>
      <c r="N1384" s="53"/>
      <c r="O1384" s="53"/>
      <c r="P1384" s="53"/>
      <c r="Q1384" s="53"/>
    </row>
    <row r="1385" spans="1:17">
      <c r="A1385" s="11">
        <f t="shared" si="21"/>
        <v>1384</v>
      </c>
      <c r="B1385" s="53">
        <v>80516550</v>
      </c>
      <c r="C1385" s="53" t="s">
        <v>1515</v>
      </c>
      <c r="D1385" s="53"/>
      <c r="E1385" s="53"/>
      <c r="F1385" s="53" t="s">
        <v>11</v>
      </c>
      <c r="G1385" s="53">
        <v>4300</v>
      </c>
      <c r="H1385" s="53">
        <v>3873.8738738738734</v>
      </c>
      <c r="I1385" s="53"/>
      <c r="J1385" s="53"/>
      <c r="K1385" s="53"/>
      <c r="L1385" s="53"/>
      <c r="M1385" s="53"/>
      <c r="N1385" s="53"/>
      <c r="O1385" s="53"/>
      <c r="P1385" s="53"/>
      <c r="Q1385" s="53"/>
    </row>
    <row r="1386" spans="1:17">
      <c r="A1386" s="11">
        <f t="shared" si="21"/>
        <v>1385</v>
      </c>
      <c r="B1386" s="53">
        <v>80516567</v>
      </c>
      <c r="C1386" s="53" t="s">
        <v>1516</v>
      </c>
      <c r="D1386" s="53"/>
      <c r="E1386" s="53"/>
      <c r="F1386" s="53" t="s">
        <v>11</v>
      </c>
      <c r="G1386" s="53">
        <v>112900</v>
      </c>
      <c r="H1386" s="53">
        <v>101711.7117117117</v>
      </c>
      <c r="I1386" s="53"/>
      <c r="J1386" s="53"/>
      <c r="K1386" s="53"/>
      <c r="L1386" s="53"/>
      <c r="M1386" s="53"/>
      <c r="N1386" s="53"/>
      <c r="O1386" s="53"/>
      <c r="P1386" s="53"/>
      <c r="Q1386" s="53"/>
    </row>
    <row r="1387" spans="1:17">
      <c r="A1387" s="11">
        <f t="shared" si="21"/>
        <v>1386</v>
      </c>
      <c r="B1387" s="53">
        <v>80516378</v>
      </c>
      <c r="C1387" s="53" t="s">
        <v>1517</v>
      </c>
      <c r="D1387" s="53"/>
      <c r="E1387" s="53"/>
      <c r="F1387" s="53" t="s">
        <v>11</v>
      </c>
      <c r="G1387" s="53">
        <v>787700</v>
      </c>
      <c r="H1387" s="53">
        <v>709639.63963963953</v>
      </c>
      <c r="I1387" s="53"/>
      <c r="J1387" s="53"/>
      <c r="K1387" s="53"/>
      <c r="L1387" s="53"/>
      <c r="M1387" s="53"/>
      <c r="N1387" s="53"/>
      <c r="O1387" s="53"/>
      <c r="P1387" s="53"/>
      <c r="Q1387" s="53"/>
    </row>
    <row r="1388" spans="1:17">
      <c r="A1388" s="11">
        <f t="shared" si="21"/>
        <v>1387</v>
      </c>
      <c r="B1388" s="53">
        <v>80516377</v>
      </c>
      <c r="C1388" s="53" t="s">
        <v>1518</v>
      </c>
      <c r="D1388" s="53"/>
      <c r="E1388" s="53"/>
      <c r="F1388" s="53" t="s">
        <v>11</v>
      </c>
      <c r="G1388" s="53">
        <v>673200</v>
      </c>
      <c r="H1388" s="53">
        <v>606486.48648648639</v>
      </c>
      <c r="I1388" s="53"/>
      <c r="J1388" s="53"/>
      <c r="K1388" s="53"/>
      <c r="L1388" s="53"/>
      <c r="M1388" s="53"/>
      <c r="N1388" s="53"/>
      <c r="O1388" s="53"/>
      <c r="P1388" s="53"/>
      <c r="Q1388" s="53"/>
    </row>
    <row r="1389" spans="1:17">
      <c r="A1389" s="11">
        <f t="shared" si="21"/>
        <v>1388</v>
      </c>
      <c r="B1389" s="53">
        <v>80516363</v>
      </c>
      <c r="C1389" s="53" t="s">
        <v>1519</v>
      </c>
      <c r="D1389" s="53"/>
      <c r="E1389" s="53"/>
      <c r="F1389" s="53" t="s">
        <v>11</v>
      </c>
      <c r="G1389" s="53">
        <v>31500</v>
      </c>
      <c r="H1389" s="53">
        <v>28378.378378378377</v>
      </c>
      <c r="I1389" s="53"/>
      <c r="J1389" s="53"/>
      <c r="K1389" s="53"/>
      <c r="L1389" s="53"/>
      <c r="M1389" s="53"/>
      <c r="N1389" s="53"/>
      <c r="O1389" s="53"/>
      <c r="P1389" s="53"/>
      <c r="Q1389" s="53"/>
    </row>
    <row r="1390" spans="1:17">
      <c r="A1390" s="11">
        <f t="shared" si="21"/>
        <v>1389</v>
      </c>
      <c r="B1390" s="53">
        <v>80516375</v>
      </c>
      <c r="C1390" s="53" t="s">
        <v>1520</v>
      </c>
      <c r="D1390" s="53"/>
      <c r="E1390" s="53"/>
      <c r="F1390" s="53" t="s">
        <v>11</v>
      </c>
      <c r="G1390" s="53">
        <v>377399.99999999994</v>
      </c>
      <c r="H1390" s="53">
        <v>339999.99999999994</v>
      </c>
      <c r="I1390" s="53"/>
      <c r="J1390" s="53"/>
      <c r="K1390" s="53"/>
      <c r="L1390" s="53"/>
      <c r="M1390" s="53"/>
      <c r="N1390" s="53"/>
      <c r="O1390" s="53"/>
      <c r="P1390" s="53"/>
      <c r="Q1390" s="53"/>
    </row>
    <row r="1391" spans="1:17">
      <c r="A1391" s="11">
        <f t="shared" si="21"/>
        <v>1390</v>
      </c>
      <c r="B1391" s="53">
        <v>80516517</v>
      </c>
      <c r="C1391" s="53" t="s">
        <v>1521</v>
      </c>
      <c r="D1391" s="53"/>
      <c r="E1391" s="53"/>
      <c r="F1391" s="53" t="s">
        <v>11</v>
      </c>
      <c r="G1391" s="53">
        <v>61300</v>
      </c>
      <c r="H1391" s="53">
        <v>55225.225225225222</v>
      </c>
      <c r="I1391" s="53"/>
      <c r="J1391" s="53"/>
      <c r="K1391" s="53"/>
      <c r="L1391" s="53"/>
      <c r="M1391" s="53"/>
      <c r="N1391" s="53"/>
      <c r="O1391" s="53"/>
      <c r="P1391" s="53"/>
      <c r="Q1391" s="53"/>
    </row>
    <row r="1392" spans="1:17">
      <c r="A1392" s="11">
        <f t="shared" si="21"/>
        <v>1391</v>
      </c>
      <c r="B1392" s="53">
        <v>80516518</v>
      </c>
      <c r="C1392" s="53" t="s">
        <v>1522</v>
      </c>
      <c r="D1392" s="53"/>
      <c r="E1392" s="53"/>
      <c r="F1392" s="53" t="s">
        <v>11</v>
      </c>
      <c r="G1392" s="53">
        <v>134500</v>
      </c>
      <c r="H1392" s="53">
        <v>121171.17117117115</v>
      </c>
      <c r="I1392" s="53"/>
      <c r="J1392" s="53"/>
      <c r="K1392" s="53"/>
      <c r="L1392" s="53"/>
      <c r="M1392" s="53"/>
      <c r="N1392" s="53"/>
      <c r="O1392" s="53"/>
      <c r="P1392" s="53"/>
      <c r="Q1392" s="53"/>
    </row>
    <row r="1393" spans="1:17">
      <c r="A1393" s="11">
        <f t="shared" si="21"/>
        <v>1392</v>
      </c>
      <c r="B1393" s="53">
        <v>80516523</v>
      </c>
      <c r="C1393" s="53" t="s">
        <v>1523</v>
      </c>
      <c r="D1393" s="53"/>
      <c r="E1393" s="53"/>
      <c r="F1393" s="53" t="s">
        <v>11</v>
      </c>
      <c r="G1393" s="53">
        <v>328800</v>
      </c>
      <c r="H1393" s="53">
        <v>296216.21621621621</v>
      </c>
      <c r="I1393" s="53"/>
      <c r="J1393" s="53"/>
      <c r="K1393" s="53"/>
      <c r="L1393" s="53"/>
      <c r="M1393" s="53"/>
      <c r="N1393" s="53"/>
      <c r="O1393" s="53"/>
      <c r="P1393" s="53"/>
      <c r="Q1393" s="53"/>
    </row>
    <row r="1394" spans="1:17">
      <c r="A1394" s="11">
        <f t="shared" si="21"/>
        <v>1393</v>
      </c>
      <c r="B1394" s="53">
        <v>102279</v>
      </c>
      <c r="C1394" s="53" t="s">
        <v>1524</v>
      </c>
      <c r="D1394" s="53"/>
      <c r="E1394" s="53"/>
      <c r="F1394" s="53" t="s">
        <v>11</v>
      </c>
      <c r="G1394" s="53">
        <v>0</v>
      </c>
      <c r="H1394" s="53">
        <v>0</v>
      </c>
      <c r="I1394" s="53"/>
      <c r="J1394" s="53"/>
      <c r="K1394" s="53"/>
      <c r="L1394" s="53"/>
      <c r="M1394" s="53"/>
      <c r="N1394" s="53"/>
      <c r="O1394" s="53"/>
      <c r="P1394" s="53"/>
      <c r="Q1394" s="53"/>
    </row>
    <row r="1395" spans="1:17">
      <c r="A1395" s="11">
        <f t="shared" si="21"/>
        <v>1394</v>
      </c>
      <c r="B1395" s="53">
        <v>80516379</v>
      </c>
      <c r="C1395" s="53" t="s">
        <v>1525</v>
      </c>
      <c r="D1395" s="53"/>
      <c r="E1395" s="53"/>
      <c r="F1395" s="53" t="s">
        <v>11</v>
      </c>
      <c r="G1395" s="53">
        <v>1300.0000000000002</v>
      </c>
      <c r="H1395" s="53">
        <v>1171.1711711711712</v>
      </c>
      <c r="I1395" s="53"/>
      <c r="J1395" s="53"/>
      <c r="K1395" s="53"/>
      <c r="L1395" s="53"/>
      <c r="M1395" s="53"/>
      <c r="N1395" s="53"/>
      <c r="O1395" s="53"/>
      <c r="P1395" s="53"/>
      <c r="Q1395" s="53"/>
    </row>
    <row r="1396" spans="1:17">
      <c r="A1396" s="11">
        <f t="shared" si="21"/>
        <v>1395</v>
      </c>
      <c r="B1396" s="53">
        <v>102275</v>
      </c>
      <c r="C1396" s="53" t="s">
        <v>1526</v>
      </c>
      <c r="D1396" s="53"/>
      <c r="E1396" s="53"/>
      <c r="F1396" s="53" t="s">
        <v>11</v>
      </c>
      <c r="G1396" s="53">
        <v>0</v>
      </c>
      <c r="H1396" s="53">
        <v>0</v>
      </c>
      <c r="I1396" s="53"/>
      <c r="J1396" s="53"/>
      <c r="K1396" s="53"/>
      <c r="L1396" s="53"/>
      <c r="M1396" s="53"/>
      <c r="N1396" s="53"/>
      <c r="O1396" s="53"/>
      <c r="P1396" s="53"/>
      <c r="Q1396" s="53"/>
    </row>
    <row r="1397" spans="1:17">
      <c r="A1397" s="11">
        <f t="shared" si="21"/>
        <v>1396</v>
      </c>
      <c r="B1397" s="53">
        <v>102277</v>
      </c>
      <c r="C1397" s="53" t="s">
        <v>1527</v>
      </c>
      <c r="D1397" s="53"/>
      <c r="E1397" s="53"/>
      <c r="F1397" s="53" t="s">
        <v>11</v>
      </c>
      <c r="G1397" s="53">
        <v>42500</v>
      </c>
      <c r="H1397" s="53">
        <v>38288.288288288284</v>
      </c>
      <c r="I1397" s="53"/>
      <c r="J1397" s="53"/>
      <c r="K1397" s="53"/>
      <c r="L1397" s="53"/>
      <c r="M1397" s="53"/>
      <c r="N1397" s="53"/>
      <c r="O1397" s="53"/>
      <c r="P1397" s="53"/>
      <c r="Q1397" s="53"/>
    </row>
    <row r="1398" spans="1:17">
      <c r="A1398" s="11">
        <f t="shared" si="21"/>
        <v>1397</v>
      </c>
      <c r="B1398" s="53">
        <v>80516380</v>
      </c>
      <c r="C1398" s="53" t="s">
        <v>1528</v>
      </c>
      <c r="D1398" s="53"/>
      <c r="E1398" s="53"/>
      <c r="F1398" s="53" t="s">
        <v>11</v>
      </c>
      <c r="G1398" s="53">
        <v>44800</v>
      </c>
      <c r="H1398" s="53">
        <v>40360.360360360355</v>
      </c>
      <c r="I1398" s="53"/>
      <c r="J1398" s="53"/>
      <c r="K1398" s="53"/>
      <c r="L1398" s="53"/>
      <c r="M1398" s="53"/>
      <c r="N1398" s="53"/>
      <c r="O1398" s="53"/>
      <c r="P1398" s="53"/>
      <c r="Q1398" s="53"/>
    </row>
    <row r="1399" spans="1:17">
      <c r="A1399" s="11">
        <f t="shared" si="21"/>
        <v>1398</v>
      </c>
      <c r="B1399" s="53">
        <v>102276</v>
      </c>
      <c r="C1399" s="53" t="s">
        <v>1529</v>
      </c>
      <c r="D1399" s="53"/>
      <c r="E1399" s="53"/>
      <c r="F1399" s="53" t="s">
        <v>11</v>
      </c>
      <c r="G1399" s="53">
        <v>23000</v>
      </c>
      <c r="H1399" s="53">
        <v>20720.720720720718</v>
      </c>
      <c r="I1399" s="53"/>
      <c r="J1399" s="53"/>
      <c r="K1399" s="53"/>
      <c r="L1399" s="53"/>
      <c r="M1399" s="53"/>
      <c r="N1399" s="53"/>
      <c r="O1399" s="53"/>
      <c r="P1399" s="53"/>
      <c r="Q1399" s="53"/>
    </row>
    <row r="1400" spans="1:17">
      <c r="A1400" s="11">
        <f t="shared" si="21"/>
        <v>1399</v>
      </c>
      <c r="B1400" s="53">
        <v>102287</v>
      </c>
      <c r="C1400" s="53" t="s">
        <v>1530</v>
      </c>
      <c r="D1400" s="53"/>
      <c r="E1400" s="53"/>
      <c r="F1400" s="53" t="s">
        <v>11</v>
      </c>
      <c r="G1400" s="53">
        <v>31500</v>
      </c>
      <c r="H1400" s="53">
        <v>28378.378378378377</v>
      </c>
      <c r="I1400" s="53"/>
      <c r="J1400" s="53"/>
      <c r="K1400" s="53"/>
      <c r="L1400" s="53"/>
      <c r="M1400" s="53"/>
      <c r="N1400" s="53"/>
      <c r="O1400" s="53"/>
      <c r="P1400" s="53"/>
      <c r="Q1400" s="53"/>
    </row>
    <row r="1401" spans="1:17">
      <c r="A1401" s="11">
        <f t="shared" si="21"/>
        <v>1400</v>
      </c>
      <c r="B1401" s="53">
        <v>80516366</v>
      </c>
      <c r="C1401" s="53" t="s">
        <v>1531</v>
      </c>
      <c r="D1401" s="53"/>
      <c r="E1401" s="53"/>
      <c r="F1401" s="53" t="s">
        <v>11</v>
      </c>
      <c r="G1401" s="53">
        <v>55300</v>
      </c>
      <c r="H1401" s="53">
        <v>49819.819819819815</v>
      </c>
      <c r="I1401" s="53"/>
      <c r="J1401" s="53"/>
      <c r="K1401" s="53"/>
      <c r="L1401" s="53"/>
      <c r="M1401" s="53"/>
      <c r="N1401" s="53"/>
      <c r="O1401" s="53"/>
      <c r="P1401" s="53"/>
      <c r="Q1401" s="53"/>
    </row>
    <row r="1402" spans="1:17">
      <c r="A1402" s="11">
        <f t="shared" si="21"/>
        <v>1401</v>
      </c>
      <c r="B1402" s="53">
        <v>80516367</v>
      </c>
      <c r="C1402" s="53" t="s">
        <v>1532</v>
      </c>
      <c r="D1402" s="53"/>
      <c r="E1402" s="53"/>
      <c r="F1402" s="53" t="s">
        <v>11</v>
      </c>
      <c r="G1402" s="53">
        <v>60300</v>
      </c>
      <c r="H1402" s="53">
        <v>54324.32432432432</v>
      </c>
      <c r="I1402" s="53"/>
      <c r="J1402" s="53"/>
      <c r="K1402" s="53"/>
      <c r="L1402" s="53"/>
      <c r="M1402" s="53"/>
      <c r="N1402" s="53"/>
      <c r="O1402" s="53"/>
      <c r="P1402" s="53"/>
      <c r="Q1402" s="53"/>
    </row>
    <row r="1403" spans="1:17">
      <c r="A1403" s="11">
        <f t="shared" si="21"/>
        <v>1402</v>
      </c>
      <c r="B1403" s="53">
        <v>80516359</v>
      </c>
      <c r="C1403" s="53" t="s">
        <v>1533</v>
      </c>
      <c r="D1403" s="53"/>
      <c r="E1403" s="53"/>
      <c r="F1403" s="53" t="s">
        <v>11</v>
      </c>
      <c r="G1403" s="53">
        <v>105300</v>
      </c>
      <c r="H1403" s="53">
        <v>94864.864864864852</v>
      </c>
      <c r="I1403" s="53"/>
      <c r="J1403" s="53"/>
      <c r="K1403" s="53"/>
      <c r="L1403" s="53"/>
      <c r="M1403" s="53"/>
      <c r="N1403" s="53"/>
      <c r="O1403" s="53"/>
      <c r="P1403" s="53"/>
      <c r="Q1403" s="53"/>
    </row>
    <row r="1404" spans="1:17">
      <c r="A1404" s="11">
        <f t="shared" si="21"/>
        <v>1403</v>
      </c>
      <c r="B1404" s="53">
        <v>80516361</v>
      </c>
      <c r="C1404" s="53" t="s">
        <v>1534</v>
      </c>
      <c r="D1404" s="53"/>
      <c r="E1404" s="53"/>
      <c r="F1404" s="53" t="s">
        <v>11</v>
      </c>
      <c r="G1404" s="53">
        <v>148200</v>
      </c>
      <c r="H1404" s="53">
        <v>133513.51351351349</v>
      </c>
      <c r="I1404" s="53"/>
      <c r="J1404" s="53"/>
      <c r="K1404" s="53"/>
      <c r="L1404" s="53"/>
      <c r="M1404" s="53"/>
      <c r="N1404" s="53"/>
      <c r="O1404" s="53"/>
      <c r="P1404" s="53"/>
      <c r="Q1404" s="53"/>
    </row>
    <row r="1405" spans="1:17">
      <c r="A1405" s="11">
        <f t="shared" si="21"/>
        <v>1404</v>
      </c>
      <c r="B1405" s="53">
        <v>102285</v>
      </c>
      <c r="C1405" s="53" t="s">
        <v>1535</v>
      </c>
      <c r="D1405" s="53"/>
      <c r="E1405" s="53"/>
      <c r="F1405" s="53" t="s">
        <v>11</v>
      </c>
      <c r="G1405" s="53">
        <v>377399.99999999994</v>
      </c>
      <c r="H1405" s="53">
        <v>339999.99999999994</v>
      </c>
      <c r="I1405" s="53"/>
      <c r="J1405" s="53"/>
      <c r="K1405" s="53"/>
      <c r="L1405" s="53"/>
      <c r="M1405" s="53"/>
      <c r="N1405" s="53"/>
      <c r="O1405" s="53"/>
      <c r="P1405" s="53"/>
      <c r="Q1405" s="53"/>
    </row>
    <row r="1406" spans="1:17">
      <c r="A1406" s="11">
        <f t="shared" si="21"/>
        <v>1405</v>
      </c>
      <c r="B1406" s="53">
        <v>80516374</v>
      </c>
      <c r="C1406" s="53" t="s">
        <v>1536</v>
      </c>
      <c r="D1406" s="53"/>
      <c r="E1406" s="53"/>
      <c r="F1406" s="53" t="s">
        <v>11</v>
      </c>
      <c r="G1406" s="53">
        <v>336900</v>
      </c>
      <c r="H1406" s="53">
        <v>303513.51351351349</v>
      </c>
      <c r="I1406" s="53"/>
      <c r="J1406" s="53"/>
      <c r="K1406" s="53"/>
      <c r="L1406" s="53"/>
      <c r="M1406" s="53"/>
      <c r="N1406" s="53"/>
      <c r="O1406" s="53"/>
      <c r="P1406" s="53"/>
      <c r="Q1406" s="53"/>
    </row>
    <row r="1407" spans="1:17">
      <c r="A1407" s="11">
        <f t="shared" si="21"/>
        <v>1406</v>
      </c>
      <c r="B1407" s="53">
        <v>80516376</v>
      </c>
      <c r="C1407" s="53" t="s">
        <v>1537</v>
      </c>
      <c r="D1407" s="53"/>
      <c r="E1407" s="53"/>
      <c r="F1407" s="53" t="s">
        <v>11</v>
      </c>
      <c r="G1407" s="53">
        <v>528100</v>
      </c>
      <c r="H1407" s="53">
        <v>475765.76576576574</v>
      </c>
      <c r="I1407" s="53"/>
      <c r="J1407" s="53"/>
      <c r="K1407" s="53"/>
      <c r="L1407" s="53"/>
      <c r="M1407" s="53"/>
      <c r="N1407" s="53"/>
      <c r="O1407" s="53"/>
      <c r="P1407" s="53"/>
      <c r="Q1407" s="53"/>
    </row>
    <row r="1408" spans="1:17">
      <c r="A1408" s="11">
        <f t="shared" si="21"/>
        <v>1407</v>
      </c>
      <c r="B1408" s="53">
        <v>80516585</v>
      </c>
      <c r="C1408" s="53" t="s">
        <v>1538</v>
      </c>
      <c r="D1408" s="53"/>
      <c r="E1408" s="53"/>
      <c r="F1408" s="53" t="s">
        <v>11</v>
      </c>
      <c r="G1408" s="53">
        <v>61100</v>
      </c>
      <c r="H1408" s="53">
        <v>55045.045045045037</v>
      </c>
      <c r="I1408" s="53"/>
      <c r="J1408" s="53"/>
      <c r="K1408" s="53"/>
      <c r="L1408" s="53"/>
      <c r="M1408" s="53"/>
      <c r="N1408" s="53"/>
      <c r="O1408" s="53"/>
      <c r="P1408" s="53"/>
      <c r="Q1408" s="53"/>
    </row>
    <row r="1409" spans="1:17">
      <c r="A1409" s="11">
        <f t="shared" si="21"/>
        <v>1408</v>
      </c>
      <c r="B1409" s="53">
        <v>102354</v>
      </c>
      <c r="C1409" s="53" t="s">
        <v>1539</v>
      </c>
      <c r="D1409" s="53"/>
      <c r="E1409" s="53"/>
      <c r="F1409" s="53" t="s">
        <v>11</v>
      </c>
      <c r="G1409" s="53">
        <v>22200.000000000004</v>
      </c>
      <c r="H1409" s="53">
        <v>20000</v>
      </c>
      <c r="I1409" s="53"/>
      <c r="J1409" s="53"/>
      <c r="K1409" s="53"/>
      <c r="L1409" s="53"/>
      <c r="M1409" s="53"/>
      <c r="N1409" s="53"/>
      <c r="O1409" s="53"/>
      <c r="P1409" s="53"/>
      <c r="Q1409" s="53"/>
    </row>
    <row r="1410" spans="1:17">
      <c r="A1410" s="11">
        <f t="shared" si="21"/>
        <v>1409</v>
      </c>
      <c r="B1410" s="53">
        <v>80516490</v>
      </c>
      <c r="C1410" s="53" t="s">
        <v>1540</v>
      </c>
      <c r="D1410" s="53"/>
      <c r="E1410" s="53"/>
      <c r="F1410" s="53" t="s">
        <v>11</v>
      </c>
      <c r="G1410" s="53">
        <v>16400</v>
      </c>
      <c r="H1410" s="53">
        <v>14774.774774774773</v>
      </c>
      <c r="I1410" s="53"/>
      <c r="J1410" s="53"/>
      <c r="K1410" s="53"/>
      <c r="L1410" s="53"/>
      <c r="M1410" s="53"/>
      <c r="N1410" s="53"/>
      <c r="O1410" s="53"/>
      <c r="P1410" s="53"/>
      <c r="Q1410" s="53"/>
    </row>
    <row r="1411" spans="1:17">
      <c r="A1411" s="11">
        <f t="shared" si="21"/>
        <v>1410</v>
      </c>
      <c r="B1411" s="53">
        <v>80516492</v>
      </c>
      <c r="C1411" s="53" t="s">
        <v>1541</v>
      </c>
      <c r="D1411" s="53"/>
      <c r="E1411" s="53"/>
      <c r="F1411" s="53" t="s">
        <v>11</v>
      </c>
      <c r="G1411" s="53">
        <v>34900</v>
      </c>
      <c r="H1411" s="53">
        <v>31441.441441441439</v>
      </c>
      <c r="I1411" s="53"/>
      <c r="J1411" s="53"/>
      <c r="K1411" s="53"/>
      <c r="L1411" s="53"/>
      <c r="M1411" s="53"/>
      <c r="N1411" s="53"/>
      <c r="O1411" s="53"/>
      <c r="P1411" s="53"/>
      <c r="Q1411" s="53"/>
    </row>
    <row r="1412" spans="1:17">
      <c r="A1412" s="11">
        <f t="shared" si="21"/>
        <v>1411</v>
      </c>
      <c r="B1412" s="53">
        <v>80536506</v>
      </c>
      <c r="C1412" s="53" t="s">
        <v>1542</v>
      </c>
      <c r="D1412" s="53"/>
      <c r="E1412" s="53"/>
      <c r="F1412" s="53" t="s">
        <v>11</v>
      </c>
      <c r="G1412" s="53">
        <v>209400</v>
      </c>
      <c r="H1412" s="53">
        <v>188648.64864864864</v>
      </c>
      <c r="I1412" s="53"/>
      <c r="J1412" s="53"/>
      <c r="K1412" s="53"/>
      <c r="L1412" s="53"/>
      <c r="M1412" s="53"/>
      <c r="N1412" s="53"/>
      <c r="O1412" s="53"/>
      <c r="P1412" s="53"/>
      <c r="Q1412" s="53"/>
    </row>
    <row r="1413" spans="1:17">
      <c r="A1413" s="11">
        <f t="shared" ref="A1413:A1471" si="22">ROW()-1</f>
        <v>1412</v>
      </c>
      <c r="B1413" s="53">
        <v>80576826</v>
      </c>
      <c r="C1413" s="53" t="s">
        <v>1543</v>
      </c>
      <c r="D1413" s="53"/>
      <c r="E1413" s="53"/>
      <c r="F1413" s="53" t="s">
        <v>11</v>
      </c>
      <c r="G1413" s="53">
        <v>49199.640000000007</v>
      </c>
      <c r="H1413" s="53">
        <v>44324</v>
      </c>
      <c r="I1413" s="53"/>
      <c r="J1413" s="53"/>
      <c r="K1413" s="53"/>
      <c r="L1413" s="53"/>
      <c r="M1413" s="53"/>
      <c r="N1413" s="53"/>
      <c r="O1413" s="53"/>
      <c r="P1413" s="53"/>
      <c r="Q1413" s="53"/>
    </row>
    <row r="1414" spans="1:17">
      <c r="A1414" s="11">
        <f t="shared" si="22"/>
        <v>1413</v>
      </c>
      <c r="B1414" s="53">
        <v>80576823</v>
      </c>
      <c r="C1414" s="53" t="s">
        <v>1544</v>
      </c>
      <c r="D1414" s="53"/>
      <c r="E1414" s="53"/>
      <c r="F1414" s="53" t="s">
        <v>11</v>
      </c>
      <c r="G1414" s="53">
        <v>8700.18</v>
      </c>
      <c r="H1414" s="53">
        <v>7838</v>
      </c>
      <c r="I1414" s="53"/>
      <c r="J1414" s="53"/>
      <c r="K1414" s="53"/>
      <c r="L1414" s="53"/>
      <c r="M1414" s="53"/>
      <c r="N1414" s="53"/>
      <c r="O1414" s="53"/>
      <c r="P1414" s="53"/>
      <c r="Q1414" s="53"/>
    </row>
    <row r="1415" spans="1:17">
      <c r="A1415" s="11">
        <f t="shared" si="22"/>
        <v>1414</v>
      </c>
      <c r="B1415" s="53">
        <v>80576827</v>
      </c>
      <c r="C1415" s="53" t="s">
        <v>1545</v>
      </c>
      <c r="D1415" s="53"/>
      <c r="E1415" s="53"/>
      <c r="F1415" s="53" t="s">
        <v>11</v>
      </c>
      <c r="G1415" s="53">
        <v>85799.670000000013</v>
      </c>
      <c r="H1415" s="53">
        <v>77297</v>
      </c>
      <c r="I1415" s="53"/>
      <c r="J1415" s="53"/>
      <c r="K1415" s="53"/>
      <c r="L1415" s="53"/>
      <c r="M1415" s="53"/>
      <c r="N1415" s="53"/>
      <c r="O1415" s="53"/>
      <c r="P1415" s="53"/>
      <c r="Q1415" s="53"/>
    </row>
    <row r="1416" spans="1:17">
      <c r="A1416" s="11">
        <f t="shared" si="22"/>
        <v>1415</v>
      </c>
      <c r="B1416" s="53">
        <v>80576828</v>
      </c>
      <c r="C1416" s="53" t="s">
        <v>1546</v>
      </c>
      <c r="D1416" s="53"/>
      <c r="E1416" s="53"/>
      <c r="F1416" s="53" t="s">
        <v>11</v>
      </c>
      <c r="G1416" s="53">
        <v>142599.48000000001</v>
      </c>
      <c r="H1416" s="53">
        <v>128468</v>
      </c>
      <c r="I1416" s="53"/>
      <c r="J1416" s="53"/>
      <c r="K1416" s="53"/>
      <c r="L1416" s="53"/>
      <c r="M1416" s="53"/>
      <c r="N1416" s="53"/>
      <c r="O1416" s="53"/>
      <c r="P1416" s="53"/>
      <c r="Q1416" s="53"/>
    </row>
    <row r="1417" spans="1:17">
      <c r="A1417" s="11">
        <f t="shared" si="22"/>
        <v>1416</v>
      </c>
      <c r="B1417" s="53">
        <v>80576807</v>
      </c>
      <c r="C1417" s="53" t="s">
        <v>1547</v>
      </c>
      <c r="D1417" s="53"/>
      <c r="E1417" s="53"/>
      <c r="F1417" s="53" t="s">
        <v>11</v>
      </c>
      <c r="G1417" s="53">
        <v>79800.12000000001</v>
      </c>
      <c r="H1417" s="53">
        <v>71892</v>
      </c>
      <c r="I1417" s="53"/>
      <c r="J1417" s="53"/>
      <c r="K1417" s="53"/>
      <c r="L1417" s="53"/>
      <c r="M1417" s="53"/>
      <c r="N1417" s="53"/>
      <c r="O1417" s="53"/>
      <c r="P1417" s="53"/>
      <c r="Q1417" s="53"/>
    </row>
    <row r="1418" spans="1:17">
      <c r="A1418" s="11">
        <f t="shared" si="22"/>
        <v>1417</v>
      </c>
      <c r="B1418" s="53">
        <v>80576808</v>
      </c>
      <c r="C1418" s="53" t="s">
        <v>1548</v>
      </c>
      <c r="D1418" s="53"/>
      <c r="E1418" s="53"/>
      <c r="F1418" s="53" t="s">
        <v>11</v>
      </c>
      <c r="G1418" s="53">
        <v>96799.77</v>
      </c>
      <c r="H1418" s="53">
        <v>87207</v>
      </c>
      <c r="I1418" s="53"/>
      <c r="J1418" s="53"/>
      <c r="K1418" s="53"/>
      <c r="L1418" s="53"/>
      <c r="M1418" s="53"/>
      <c r="N1418" s="53"/>
      <c r="O1418" s="53"/>
      <c r="P1418" s="53"/>
      <c r="Q1418" s="53"/>
    </row>
    <row r="1419" spans="1:17">
      <c r="A1419" s="11">
        <f t="shared" si="22"/>
        <v>1418</v>
      </c>
      <c r="B1419" s="53" t="s">
        <v>1476</v>
      </c>
      <c r="C1419" s="53" t="s">
        <v>1549</v>
      </c>
      <c r="D1419" s="53"/>
      <c r="E1419" s="53"/>
      <c r="F1419" s="53" t="s">
        <v>11</v>
      </c>
      <c r="G1419" s="53">
        <v>33000.300000000003</v>
      </c>
      <c r="H1419" s="53">
        <v>29730</v>
      </c>
      <c r="I1419" s="53"/>
      <c r="J1419" s="53"/>
      <c r="K1419" s="53"/>
      <c r="L1419" s="53"/>
      <c r="M1419" s="53"/>
      <c r="N1419" s="53"/>
      <c r="O1419" s="53"/>
      <c r="P1419" s="53"/>
      <c r="Q1419" s="53"/>
    </row>
    <row r="1420" spans="1:17">
      <c r="A1420" s="11">
        <f t="shared" si="22"/>
        <v>1419</v>
      </c>
      <c r="B1420" s="53">
        <v>80576839</v>
      </c>
      <c r="C1420" s="53" t="s">
        <v>1550</v>
      </c>
      <c r="D1420" s="53"/>
      <c r="E1420" s="53"/>
      <c r="F1420" s="53" t="s">
        <v>11</v>
      </c>
      <c r="G1420" s="53">
        <v>314499.63</v>
      </c>
      <c r="H1420" s="53">
        <v>283333</v>
      </c>
      <c r="I1420" s="53"/>
      <c r="J1420" s="53"/>
      <c r="K1420" s="53"/>
      <c r="L1420" s="53"/>
      <c r="M1420" s="53"/>
      <c r="N1420" s="53"/>
      <c r="O1420" s="53"/>
      <c r="P1420" s="53"/>
      <c r="Q1420" s="53"/>
    </row>
    <row r="1421" spans="1:17">
      <c r="A1421" s="11">
        <f t="shared" si="22"/>
        <v>1420</v>
      </c>
      <c r="B1421" s="53">
        <v>80576871</v>
      </c>
      <c r="C1421" s="53" t="s">
        <v>1551</v>
      </c>
      <c r="D1421" s="53"/>
      <c r="E1421" s="53"/>
      <c r="F1421" s="53" t="s">
        <v>11</v>
      </c>
      <c r="G1421" s="53">
        <v>965899.8</v>
      </c>
      <c r="H1421" s="53">
        <v>870180</v>
      </c>
      <c r="I1421" s="53"/>
      <c r="J1421" s="53"/>
      <c r="K1421" s="53"/>
      <c r="L1421" s="53"/>
      <c r="M1421" s="53"/>
      <c r="N1421" s="53"/>
      <c r="O1421" s="53"/>
      <c r="P1421" s="53"/>
      <c r="Q1421" s="53"/>
    </row>
    <row r="1422" spans="1:17">
      <c r="A1422" s="11">
        <f t="shared" si="22"/>
        <v>1421</v>
      </c>
      <c r="B1422" s="53">
        <v>102326</v>
      </c>
      <c r="C1422" s="53" t="s">
        <v>1552</v>
      </c>
      <c r="D1422" s="53"/>
      <c r="E1422" s="53"/>
      <c r="F1422" s="53" t="s">
        <v>11</v>
      </c>
      <c r="G1422" s="53">
        <v>0</v>
      </c>
      <c r="H1422" s="53">
        <v>0</v>
      </c>
      <c r="I1422" s="53"/>
      <c r="J1422" s="53"/>
      <c r="K1422" s="53"/>
      <c r="L1422" s="53"/>
      <c r="M1422" s="53"/>
      <c r="N1422" s="53"/>
      <c r="O1422" s="53"/>
      <c r="P1422" s="53"/>
      <c r="Q1422" s="53"/>
    </row>
    <row r="1423" spans="1:17">
      <c r="A1423" s="11">
        <f t="shared" si="22"/>
        <v>1422</v>
      </c>
      <c r="B1423" s="53" t="s">
        <v>1477</v>
      </c>
      <c r="C1423" s="53" t="s">
        <v>1553</v>
      </c>
      <c r="D1423" s="53"/>
      <c r="E1423" s="53"/>
      <c r="F1423" s="53" t="s">
        <v>11</v>
      </c>
      <c r="G1423" s="53">
        <v>10400.000000000002</v>
      </c>
      <c r="H1423" s="53">
        <v>9369.3693693693695</v>
      </c>
      <c r="I1423" s="53"/>
      <c r="J1423" s="53"/>
      <c r="K1423" s="53"/>
      <c r="L1423" s="53"/>
      <c r="M1423" s="53"/>
      <c r="N1423" s="53"/>
      <c r="O1423" s="53"/>
      <c r="P1423" s="53"/>
      <c r="Q1423" s="53"/>
    </row>
    <row r="1424" spans="1:17">
      <c r="A1424" s="11">
        <f t="shared" si="22"/>
        <v>1423</v>
      </c>
      <c r="B1424" s="53">
        <v>80516397</v>
      </c>
      <c r="C1424" s="53" t="s">
        <v>1554</v>
      </c>
      <c r="D1424" s="53"/>
      <c r="E1424" s="53"/>
      <c r="F1424" s="53" t="s">
        <v>11</v>
      </c>
      <c r="G1424" s="53">
        <v>19399.999999999996</v>
      </c>
      <c r="H1424" s="53">
        <v>17477.477477477474</v>
      </c>
      <c r="I1424" s="53"/>
      <c r="J1424" s="53"/>
      <c r="K1424" s="53"/>
      <c r="L1424" s="53"/>
      <c r="M1424" s="53"/>
      <c r="N1424" s="53"/>
      <c r="O1424" s="53"/>
      <c r="P1424" s="53"/>
      <c r="Q1424" s="53"/>
    </row>
    <row r="1425" spans="1:17">
      <c r="A1425" s="11">
        <f t="shared" si="22"/>
        <v>1424</v>
      </c>
      <c r="B1425" s="53">
        <v>80516416</v>
      </c>
      <c r="C1425" s="53" t="s">
        <v>1555</v>
      </c>
      <c r="D1425" s="53"/>
      <c r="E1425" s="53"/>
      <c r="F1425" s="53" t="s">
        <v>11</v>
      </c>
      <c r="G1425" s="53">
        <v>32100</v>
      </c>
      <c r="H1425" s="53">
        <v>28918.918918918916</v>
      </c>
      <c r="I1425" s="53"/>
      <c r="J1425" s="53"/>
      <c r="K1425" s="53"/>
      <c r="L1425" s="53"/>
      <c r="M1425" s="53"/>
      <c r="N1425" s="53"/>
      <c r="O1425" s="53"/>
      <c r="P1425" s="53"/>
      <c r="Q1425" s="53"/>
    </row>
    <row r="1426" spans="1:17">
      <c r="A1426" s="11">
        <f t="shared" si="22"/>
        <v>1425</v>
      </c>
      <c r="B1426" s="53">
        <v>80516405</v>
      </c>
      <c r="C1426" s="53" t="s">
        <v>1556</v>
      </c>
      <c r="D1426" s="53"/>
      <c r="E1426" s="53"/>
      <c r="F1426" s="53" t="s">
        <v>11</v>
      </c>
      <c r="G1426" s="53">
        <v>58600</v>
      </c>
      <c r="H1426" s="53">
        <v>52792.792792792789</v>
      </c>
      <c r="I1426" s="53"/>
      <c r="J1426" s="53"/>
      <c r="K1426" s="53"/>
      <c r="L1426" s="53"/>
      <c r="M1426" s="53"/>
      <c r="N1426" s="53"/>
      <c r="O1426" s="53"/>
      <c r="P1426" s="53"/>
      <c r="Q1426" s="53"/>
    </row>
    <row r="1427" spans="1:17">
      <c r="A1427" s="11">
        <f t="shared" si="22"/>
        <v>1426</v>
      </c>
      <c r="B1427" s="53">
        <v>80516414</v>
      </c>
      <c r="C1427" s="53" t="s">
        <v>1557</v>
      </c>
      <c r="D1427" s="53"/>
      <c r="E1427" s="53"/>
      <c r="F1427" s="53" t="s">
        <v>11</v>
      </c>
      <c r="G1427" s="53">
        <v>235200</v>
      </c>
      <c r="H1427" s="53">
        <v>211891.89189189186</v>
      </c>
      <c r="I1427" s="53"/>
      <c r="J1427" s="53"/>
      <c r="K1427" s="53"/>
      <c r="L1427" s="53"/>
      <c r="M1427" s="53"/>
      <c r="N1427" s="53"/>
      <c r="O1427" s="53"/>
      <c r="P1427" s="53"/>
      <c r="Q1427" s="53"/>
    </row>
    <row r="1428" spans="1:17">
      <c r="A1428" s="11">
        <f t="shared" si="22"/>
        <v>1427</v>
      </c>
      <c r="B1428" s="53">
        <v>80516412</v>
      </c>
      <c r="C1428" s="53" t="s">
        <v>1558</v>
      </c>
      <c r="D1428" s="53"/>
      <c r="E1428" s="53"/>
      <c r="F1428" s="53" t="s">
        <v>11</v>
      </c>
      <c r="G1428" s="53">
        <v>206300</v>
      </c>
      <c r="H1428" s="53">
        <v>185855.85585585583</v>
      </c>
      <c r="I1428" s="53"/>
      <c r="J1428" s="53"/>
      <c r="K1428" s="53"/>
      <c r="L1428" s="53"/>
      <c r="M1428" s="53"/>
      <c r="N1428" s="53"/>
      <c r="O1428" s="53"/>
      <c r="P1428" s="53"/>
      <c r="Q1428" s="53"/>
    </row>
    <row r="1429" spans="1:17">
      <c r="A1429" s="11">
        <f t="shared" si="22"/>
        <v>1428</v>
      </c>
      <c r="B1429" s="53">
        <v>80516401</v>
      </c>
      <c r="C1429" s="53" t="s">
        <v>1559</v>
      </c>
      <c r="D1429" s="53"/>
      <c r="E1429" s="53"/>
      <c r="F1429" s="53" t="s">
        <v>11</v>
      </c>
      <c r="G1429" s="53">
        <v>39100</v>
      </c>
      <c r="H1429" s="53">
        <v>35225.225225225222</v>
      </c>
      <c r="I1429" s="53"/>
      <c r="J1429" s="53"/>
      <c r="K1429" s="53"/>
      <c r="L1429" s="53"/>
      <c r="M1429" s="53"/>
      <c r="N1429" s="53"/>
      <c r="O1429" s="53"/>
      <c r="P1429" s="53"/>
      <c r="Q1429" s="53"/>
    </row>
    <row r="1430" spans="1:17">
      <c r="A1430" s="11">
        <f t="shared" si="22"/>
        <v>1429</v>
      </c>
      <c r="B1430" s="53">
        <v>80516247</v>
      </c>
      <c r="C1430" s="53" t="s">
        <v>1560</v>
      </c>
      <c r="D1430" s="53"/>
      <c r="E1430" s="53"/>
      <c r="F1430" s="53" t="s">
        <v>11</v>
      </c>
      <c r="G1430" s="53">
        <v>83700</v>
      </c>
      <c r="H1430" s="53">
        <v>75405.4054054054</v>
      </c>
      <c r="I1430" s="53"/>
      <c r="J1430" s="53"/>
      <c r="K1430" s="53"/>
      <c r="L1430" s="53"/>
      <c r="M1430" s="53"/>
      <c r="N1430" s="53"/>
      <c r="O1430" s="53"/>
      <c r="P1430" s="53"/>
      <c r="Q1430" s="53"/>
    </row>
    <row r="1431" spans="1:17">
      <c r="A1431" s="11">
        <f t="shared" si="22"/>
        <v>1430</v>
      </c>
      <c r="B1431" s="53">
        <v>80516248</v>
      </c>
      <c r="C1431" s="53" t="s">
        <v>1474</v>
      </c>
      <c r="D1431" s="53"/>
      <c r="E1431" s="53"/>
      <c r="F1431" s="53" t="s">
        <v>11</v>
      </c>
      <c r="G1431" s="53">
        <v>84500</v>
      </c>
      <c r="H1431" s="53">
        <v>76126.126126126124</v>
      </c>
      <c r="I1431" s="53"/>
      <c r="J1431" s="53"/>
      <c r="K1431" s="53"/>
      <c r="L1431" s="53"/>
      <c r="M1431" s="53"/>
      <c r="N1431" s="53"/>
      <c r="O1431" s="53"/>
      <c r="P1431" s="53"/>
      <c r="Q1431" s="53"/>
    </row>
    <row r="1432" spans="1:17">
      <c r="A1432" s="11">
        <f t="shared" si="22"/>
        <v>1431</v>
      </c>
      <c r="B1432" s="53">
        <v>102346</v>
      </c>
      <c r="C1432" s="53" t="s">
        <v>1561</v>
      </c>
      <c r="D1432" s="53"/>
      <c r="E1432" s="53"/>
      <c r="F1432" s="53" t="s">
        <v>11</v>
      </c>
      <c r="G1432" s="53">
        <v>33300</v>
      </c>
      <c r="H1432" s="53">
        <v>29999.999999999996</v>
      </c>
      <c r="I1432" s="53"/>
      <c r="J1432" s="53"/>
      <c r="K1432" s="53"/>
      <c r="L1432" s="53"/>
      <c r="M1432" s="53"/>
      <c r="N1432" s="53"/>
      <c r="O1432" s="53"/>
      <c r="P1432" s="53"/>
      <c r="Q1432" s="53"/>
    </row>
    <row r="1433" spans="1:17">
      <c r="A1433" s="11">
        <f t="shared" si="22"/>
        <v>1432</v>
      </c>
      <c r="B1433" s="53">
        <v>102323</v>
      </c>
      <c r="C1433" s="53" t="s">
        <v>1562</v>
      </c>
      <c r="D1433" s="53"/>
      <c r="E1433" s="53"/>
      <c r="F1433" s="53" t="s">
        <v>11</v>
      </c>
      <c r="G1433" s="53">
        <v>0</v>
      </c>
      <c r="H1433" s="53">
        <v>0</v>
      </c>
      <c r="I1433" s="53"/>
      <c r="J1433" s="53"/>
      <c r="K1433" s="53"/>
      <c r="L1433" s="53"/>
      <c r="M1433" s="53"/>
      <c r="N1433" s="53"/>
      <c r="O1433" s="53"/>
      <c r="P1433" s="53"/>
      <c r="Q1433" s="53"/>
    </row>
    <row r="1434" spans="1:17">
      <c r="A1434" s="11">
        <f t="shared" si="22"/>
        <v>1433</v>
      </c>
      <c r="B1434" s="53">
        <v>102270</v>
      </c>
      <c r="C1434" s="53" t="s">
        <v>1563</v>
      </c>
      <c r="D1434" s="53"/>
      <c r="E1434" s="53"/>
      <c r="F1434" s="53" t="s">
        <v>11</v>
      </c>
      <c r="G1434" s="53">
        <v>21700</v>
      </c>
      <c r="H1434" s="53">
        <v>19549.549549549549</v>
      </c>
      <c r="I1434" s="53"/>
      <c r="J1434" s="53"/>
      <c r="K1434" s="53"/>
      <c r="L1434" s="53"/>
      <c r="M1434" s="53"/>
      <c r="N1434" s="53"/>
      <c r="O1434" s="53"/>
      <c r="P1434" s="53"/>
      <c r="Q1434" s="53"/>
    </row>
    <row r="1435" spans="1:17">
      <c r="A1435" s="11">
        <f t="shared" si="22"/>
        <v>1434</v>
      </c>
      <c r="B1435" s="53">
        <v>102422</v>
      </c>
      <c r="C1435" s="53" t="s">
        <v>1564</v>
      </c>
      <c r="D1435" s="53"/>
      <c r="E1435" s="53"/>
      <c r="F1435" s="53" t="s">
        <v>11</v>
      </c>
      <c r="G1435" s="53">
        <v>138000</v>
      </c>
      <c r="H1435" s="53">
        <v>124324.32432432432</v>
      </c>
      <c r="I1435" s="53"/>
      <c r="J1435" s="53"/>
      <c r="K1435" s="53"/>
      <c r="L1435" s="53"/>
      <c r="M1435" s="53"/>
      <c r="N1435" s="53"/>
      <c r="O1435" s="53"/>
      <c r="P1435" s="53"/>
      <c r="Q1435" s="53"/>
    </row>
    <row r="1436" spans="1:17">
      <c r="A1436" s="11">
        <f t="shared" si="22"/>
        <v>1435</v>
      </c>
      <c r="B1436" s="53">
        <v>102331</v>
      </c>
      <c r="C1436" s="53" t="s">
        <v>1565</v>
      </c>
      <c r="D1436" s="53"/>
      <c r="E1436" s="53"/>
      <c r="F1436" s="53" t="s">
        <v>11</v>
      </c>
      <c r="G1436" s="53">
        <v>42500</v>
      </c>
      <c r="H1436" s="53">
        <v>38288.288288288284</v>
      </c>
      <c r="I1436" s="53"/>
      <c r="J1436" s="53"/>
      <c r="K1436" s="53"/>
      <c r="L1436" s="53"/>
      <c r="M1436" s="53"/>
      <c r="N1436" s="53"/>
      <c r="O1436" s="53"/>
      <c r="P1436" s="53"/>
      <c r="Q1436" s="53"/>
    </row>
    <row r="1437" spans="1:17">
      <c r="A1437" s="11">
        <f t="shared" si="22"/>
        <v>1436</v>
      </c>
      <c r="B1437" s="53">
        <v>80516488</v>
      </c>
      <c r="C1437" s="53" t="s">
        <v>1566</v>
      </c>
      <c r="D1437" s="53"/>
      <c r="E1437" s="53"/>
      <c r="F1437" s="53" t="s">
        <v>11</v>
      </c>
      <c r="G1437" s="53">
        <v>269400</v>
      </c>
      <c r="H1437" s="53">
        <v>242702.70270270269</v>
      </c>
      <c r="I1437" s="53"/>
      <c r="J1437" s="53"/>
      <c r="K1437" s="53"/>
      <c r="L1437" s="53"/>
      <c r="M1437" s="53"/>
      <c r="N1437" s="53"/>
      <c r="O1437" s="53"/>
      <c r="P1437" s="53"/>
      <c r="Q1437" s="53"/>
    </row>
    <row r="1438" spans="1:17">
      <c r="A1438" s="11">
        <f t="shared" si="22"/>
        <v>1437</v>
      </c>
      <c r="B1438" s="53">
        <v>102344</v>
      </c>
      <c r="C1438" s="53" t="s">
        <v>1567</v>
      </c>
      <c r="D1438" s="53"/>
      <c r="E1438" s="53"/>
      <c r="F1438" s="53" t="s">
        <v>11</v>
      </c>
      <c r="G1438" s="53">
        <v>56600</v>
      </c>
      <c r="H1438" s="53">
        <v>50990.990990990984</v>
      </c>
      <c r="I1438" s="53"/>
      <c r="J1438" s="53"/>
      <c r="K1438" s="53"/>
      <c r="L1438" s="53"/>
      <c r="M1438" s="53"/>
      <c r="N1438" s="53"/>
      <c r="O1438" s="53"/>
      <c r="P1438" s="53"/>
      <c r="Q1438" s="53"/>
    </row>
    <row r="1439" spans="1:17">
      <c r="A1439" s="11">
        <f t="shared" si="22"/>
        <v>1438</v>
      </c>
      <c r="B1439" s="53">
        <v>102343</v>
      </c>
      <c r="C1439" s="53" t="s">
        <v>1568</v>
      </c>
      <c r="D1439" s="53"/>
      <c r="E1439" s="53"/>
      <c r="F1439" s="53" t="s">
        <v>11</v>
      </c>
      <c r="G1439" s="53">
        <v>168.73991031390136</v>
      </c>
      <c r="H1439" s="53">
        <v>152.01793721973095</v>
      </c>
      <c r="I1439" s="53"/>
      <c r="J1439" s="53"/>
      <c r="K1439" s="53"/>
      <c r="L1439" s="53"/>
      <c r="M1439" s="53"/>
      <c r="N1439" s="53"/>
      <c r="O1439" s="53"/>
      <c r="P1439" s="53"/>
      <c r="Q1439" s="53"/>
    </row>
    <row r="1440" spans="1:17">
      <c r="A1440" s="11">
        <f t="shared" si="22"/>
        <v>1439</v>
      </c>
      <c r="B1440" s="53">
        <v>80516543</v>
      </c>
      <c r="C1440" s="53" t="s">
        <v>1569</v>
      </c>
      <c r="D1440" s="53"/>
      <c r="E1440" s="53"/>
      <c r="F1440" s="53" t="s">
        <v>11</v>
      </c>
      <c r="G1440" s="53">
        <v>0</v>
      </c>
      <c r="H1440" s="53">
        <v>0</v>
      </c>
      <c r="I1440" s="53"/>
      <c r="J1440" s="53"/>
      <c r="K1440" s="53"/>
      <c r="L1440" s="53"/>
      <c r="M1440" s="53"/>
      <c r="N1440" s="53"/>
      <c r="O1440" s="53"/>
      <c r="P1440" s="53"/>
      <c r="Q1440" s="53"/>
    </row>
    <row r="1441" spans="1:17">
      <c r="A1441" s="11">
        <f t="shared" si="22"/>
        <v>1440</v>
      </c>
      <c r="B1441" s="53">
        <v>80516427</v>
      </c>
      <c r="C1441" s="53" t="s">
        <v>1570</v>
      </c>
      <c r="D1441" s="53"/>
      <c r="E1441" s="53"/>
      <c r="F1441" s="53" t="s">
        <v>11</v>
      </c>
      <c r="G1441" s="53">
        <v>697200</v>
      </c>
      <c r="H1441" s="53">
        <v>628108.10810810805</v>
      </c>
      <c r="I1441" s="53"/>
      <c r="J1441" s="53"/>
      <c r="K1441" s="53"/>
      <c r="L1441" s="53"/>
      <c r="M1441" s="53"/>
      <c r="N1441" s="53"/>
      <c r="O1441" s="53"/>
      <c r="P1441" s="53"/>
      <c r="Q1441" s="53"/>
    </row>
    <row r="1442" spans="1:17">
      <c r="A1442" s="11">
        <f t="shared" si="22"/>
        <v>1441</v>
      </c>
      <c r="B1442" s="53">
        <v>102320</v>
      </c>
      <c r="C1442" s="53" t="s">
        <v>1571</v>
      </c>
      <c r="D1442" s="53"/>
      <c r="E1442" s="53"/>
      <c r="F1442" s="53" t="s">
        <v>11</v>
      </c>
      <c r="G1442" s="53">
        <v>19399.999999999996</v>
      </c>
      <c r="H1442" s="53">
        <v>17477.477477477474</v>
      </c>
      <c r="I1442" s="53"/>
      <c r="J1442" s="53"/>
      <c r="K1442" s="53"/>
      <c r="L1442" s="53"/>
      <c r="M1442" s="53"/>
      <c r="N1442" s="53"/>
      <c r="O1442" s="53"/>
      <c r="P1442" s="53"/>
      <c r="Q1442" s="53"/>
    </row>
    <row r="1443" spans="1:17">
      <c r="A1443" s="11">
        <f t="shared" si="22"/>
        <v>1442</v>
      </c>
      <c r="B1443" s="53">
        <v>80516424</v>
      </c>
      <c r="C1443" s="53" t="s">
        <v>1572</v>
      </c>
      <c r="D1443" s="53"/>
      <c r="E1443" s="53"/>
      <c r="F1443" s="53" t="s">
        <v>11</v>
      </c>
      <c r="G1443" s="53">
        <v>169500</v>
      </c>
      <c r="H1443" s="53">
        <v>152702.70270270269</v>
      </c>
      <c r="I1443" s="53"/>
      <c r="J1443" s="53"/>
      <c r="K1443" s="53"/>
      <c r="L1443" s="53"/>
      <c r="M1443" s="53"/>
      <c r="N1443" s="53"/>
      <c r="O1443" s="53"/>
      <c r="P1443" s="53"/>
      <c r="Q1443" s="53"/>
    </row>
    <row r="1444" spans="1:17">
      <c r="A1444" s="11">
        <f t="shared" si="22"/>
        <v>1443</v>
      </c>
      <c r="B1444" s="53">
        <v>80516417</v>
      </c>
      <c r="C1444" s="53" t="s">
        <v>1573</v>
      </c>
      <c r="D1444" s="53"/>
      <c r="E1444" s="53"/>
      <c r="F1444" s="53" t="s">
        <v>11</v>
      </c>
      <c r="G1444" s="53">
        <v>37200</v>
      </c>
      <c r="H1444" s="53">
        <v>33513.513513513513</v>
      </c>
      <c r="I1444" s="53"/>
      <c r="J1444" s="53"/>
      <c r="K1444" s="53"/>
      <c r="L1444" s="53"/>
      <c r="M1444" s="53"/>
      <c r="N1444" s="53"/>
      <c r="O1444" s="53"/>
      <c r="P1444" s="53"/>
      <c r="Q1444" s="53"/>
    </row>
    <row r="1445" spans="1:17">
      <c r="A1445" s="11">
        <f t="shared" si="22"/>
        <v>1444</v>
      </c>
      <c r="B1445" s="53">
        <v>80516421</v>
      </c>
      <c r="C1445" s="53" t="s">
        <v>1574</v>
      </c>
      <c r="D1445" s="53"/>
      <c r="E1445" s="53"/>
      <c r="F1445" s="53" t="s">
        <v>11</v>
      </c>
      <c r="G1445" s="53">
        <v>80500</v>
      </c>
      <c r="H1445" s="53">
        <v>72522.522522522515</v>
      </c>
      <c r="I1445" s="53"/>
      <c r="J1445" s="53"/>
      <c r="K1445" s="53"/>
      <c r="L1445" s="53"/>
      <c r="M1445" s="53"/>
      <c r="N1445" s="53"/>
      <c r="O1445" s="53"/>
      <c r="P1445" s="53"/>
      <c r="Q1445" s="53"/>
    </row>
    <row r="1446" spans="1:17">
      <c r="A1446" s="11">
        <f t="shared" si="22"/>
        <v>1445</v>
      </c>
      <c r="B1446" s="53">
        <v>80516422</v>
      </c>
      <c r="C1446" s="53" t="s">
        <v>1575</v>
      </c>
      <c r="D1446" s="53"/>
      <c r="E1446" s="53"/>
      <c r="F1446" s="53" t="s">
        <v>11</v>
      </c>
      <c r="G1446" s="53">
        <v>101600</v>
      </c>
      <c r="H1446" s="53">
        <v>91531.531531531524</v>
      </c>
      <c r="I1446" s="53"/>
      <c r="J1446" s="53"/>
      <c r="K1446" s="53"/>
      <c r="L1446" s="53"/>
      <c r="M1446" s="53"/>
      <c r="N1446" s="53"/>
      <c r="O1446" s="53"/>
      <c r="P1446" s="53"/>
      <c r="Q1446" s="53"/>
    </row>
    <row r="1447" spans="1:17">
      <c r="A1447" s="11">
        <f t="shared" si="22"/>
        <v>1446</v>
      </c>
      <c r="B1447" s="53">
        <v>80516425</v>
      </c>
      <c r="C1447" s="53" t="s">
        <v>1576</v>
      </c>
      <c r="D1447" s="53"/>
      <c r="E1447" s="53"/>
      <c r="F1447" s="53" t="s">
        <v>11</v>
      </c>
      <c r="G1447" s="53">
        <v>298000</v>
      </c>
      <c r="H1447" s="53">
        <v>268468.46846846846</v>
      </c>
      <c r="I1447" s="53"/>
      <c r="J1447" s="53"/>
      <c r="K1447" s="53"/>
      <c r="L1447" s="53"/>
      <c r="M1447" s="53"/>
      <c r="N1447" s="53"/>
      <c r="O1447" s="53"/>
      <c r="P1447" s="53"/>
      <c r="Q1447" s="53"/>
    </row>
    <row r="1448" spans="1:17">
      <c r="A1448" s="11">
        <f t="shared" si="22"/>
        <v>1447</v>
      </c>
      <c r="B1448" s="53">
        <v>80516428</v>
      </c>
      <c r="C1448" s="53" t="s">
        <v>1577</v>
      </c>
      <c r="D1448" s="53"/>
      <c r="E1448" s="53"/>
      <c r="F1448" s="53" t="s">
        <v>11</v>
      </c>
      <c r="G1448" s="53">
        <v>1433900</v>
      </c>
      <c r="H1448" s="53">
        <v>1291801.8018018017</v>
      </c>
      <c r="I1448" s="53"/>
      <c r="J1448" s="53"/>
      <c r="K1448" s="53"/>
      <c r="L1448" s="53"/>
      <c r="M1448" s="53"/>
      <c r="N1448" s="53"/>
      <c r="O1448" s="53"/>
      <c r="P1448" s="53"/>
      <c r="Q1448" s="53"/>
    </row>
    <row r="1449" spans="1:17">
      <c r="A1449" s="11">
        <f t="shared" si="22"/>
        <v>1448</v>
      </c>
      <c r="B1449" s="53">
        <v>80516542</v>
      </c>
      <c r="C1449" s="53" t="s">
        <v>1578</v>
      </c>
      <c r="D1449" s="53"/>
      <c r="E1449" s="53"/>
      <c r="F1449" s="53" t="s">
        <v>11</v>
      </c>
      <c r="G1449" s="53">
        <v>62400</v>
      </c>
      <c r="H1449" s="53">
        <v>56216.216216216213</v>
      </c>
      <c r="I1449" s="53"/>
      <c r="J1449" s="53"/>
      <c r="K1449" s="53"/>
      <c r="L1449" s="53"/>
      <c r="M1449" s="53"/>
      <c r="N1449" s="53"/>
      <c r="O1449" s="53"/>
      <c r="P1449" s="53"/>
      <c r="Q1449" s="53"/>
    </row>
    <row r="1450" spans="1:17">
      <c r="A1450" s="11">
        <f t="shared" si="22"/>
        <v>1449</v>
      </c>
      <c r="B1450" s="53">
        <v>80090957</v>
      </c>
      <c r="C1450" s="53" t="s">
        <v>1579</v>
      </c>
      <c r="D1450" s="53"/>
      <c r="E1450" s="53"/>
      <c r="F1450" s="53" t="s">
        <v>11</v>
      </c>
      <c r="G1450" s="53">
        <v>86358.000000000015</v>
      </c>
      <c r="H1450" s="53">
        <v>77800</v>
      </c>
      <c r="I1450" s="53"/>
      <c r="J1450" s="53"/>
      <c r="K1450" s="53"/>
      <c r="L1450" s="53"/>
      <c r="M1450" s="53"/>
      <c r="N1450" s="53"/>
      <c r="O1450" s="53"/>
      <c r="P1450" s="53"/>
      <c r="Q1450" s="53"/>
    </row>
    <row r="1451" spans="1:17">
      <c r="A1451" s="11">
        <f t="shared" si="22"/>
        <v>1450</v>
      </c>
      <c r="B1451" s="53">
        <v>80090970</v>
      </c>
      <c r="C1451" s="53" t="s">
        <v>1580</v>
      </c>
      <c r="D1451" s="53"/>
      <c r="E1451" s="53"/>
      <c r="F1451" s="53" t="s">
        <v>11</v>
      </c>
      <c r="G1451" s="53">
        <v>356532.00000000006</v>
      </c>
      <c r="H1451" s="53">
        <v>321200</v>
      </c>
      <c r="I1451" s="53"/>
      <c r="J1451" s="53"/>
      <c r="K1451" s="53"/>
      <c r="L1451" s="53"/>
      <c r="M1451" s="53"/>
      <c r="N1451" s="53"/>
      <c r="O1451" s="53"/>
      <c r="P1451" s="53"/>
      <c r="Q1451" s="53"/>
    </row>
    <row r="1452" spans="1:17">
      <c r="A1452" s="11">
        <f t="shared" si="22"/>
        <v>1451</v>
      </c>
      <c r="B1452" s="53">
        <v>80090937</v>
      </c>
      <c r="C1452" s="53" t="s">
        <v>1581</v>
      </c>
      <c r="D1452" s="53"/>
      <c r="E1452" s="53"/>
      <c r="F1452" s="53" t="s">
        <v>11</v>
      </c>
      <c r="G1452" s="53">
        <v>32745.000000000004</v>
      </c>
      <c r="H1452" s="53">
        <v>29500</v>
      </c>
      <c r="I1452" s="53"/>
      <c r="J1452" s="53"/>
      <c r="K1452" s="53"/>
      <c r="L1452" s="53"/>
      <c r="M1452" s="53"/>
      <c r="N1452" s="53"/>
      <c r="O1452" s="53"/>
      <c r="P1452" s="53"/>
      <c r="Q1452" s="53"/>
    </row>
    <row r="1453" spans="1:17">
      <c r="A1453" s="11">
        <f t="shared" si="22"/>
        <v>1452</v>
      </c>
      <c r="B1453" s="53">
        <v>80090938</v>
      </c>
      <c r="C1453" s="53" t="s">
        <v>1582</v>
      </c>
      <c r="D1453" s="53"/>
      <c r="E1453" s="53"/>
      <c r="F1453" s="53" t="s">
        <v>11</v>
      </c>
      <c r="G1453" s="53">
        <v>579420</v>
      </c>
      <c r="H1453" s="53">
        <v>522000</v>
      </c>
      <c r="I1453" s="53"/>
      <c r="J1453" s="53"/>
      <c r="K1453" s="53"/>
      <c r="L1453" s="53"/>
      <c r="M1453" s="53"/>
      <c r="N1453" s="53"/>
      <c r="O1453" s="53"/>
      <c r="P1453" s="53"/>
      <c r="Q1453" s="53"/>
    </row>
    <row r="1454" spans="1:17">
      <c r="A1454" s="11">
        <f t="shared" si="22"/>
        <v>1453</v>
      </c>
      <c r="B1454" s="53">
        <v>80090919</v>
      </c>
      <c r="C1454" s="53" t="s">
        <v>1583</v>
      </c>
      <c r="D1454" s="53"/>
      <c r="E1454" s="53"/>
      <c r="F1454" s="53" t="s">
        <v>11</v>
      </c>
      <c r="G1454" s="53">
        <v>168498.00000000003</v>
      </c>
      <c r="H1454" s="53">
        <v>151800</v>
      </c>
      <c r="I1454" s="53"/>
      <c r="J1454" s="53"/>
      <c r="K1454" s="53"/>
      <c r="L1454" s="53"/>
      <c r="M1454" s="53"/>
      <c r="N1454" s="53"/>
      <c r="O1454" s="53"/>
      <c r="P1454" s="53"/>
      <c r="Q1454" s="53"/>
    </row>
    <row r="1455" spans="1:17">
      <c r="A1455" s="11">
        <f t="shared" si="22"/>
        <v>1454</v>
      </c>
      <c r="B1455" s="53" t="s">
        <v>1584</v>
      </c>
      <c r="C1455" s="53" t="s">
        <v>1591</v>
      </c>
      <c r="D1455" s="53"/>
      <c r="E1455" s="53"/>
      <c r="F1455" s="53" t="s">
        <v>11</v>
      </c>
      <c r="G1455" s="53">
        <v>28860.000000000004</v>
      </c>
      <c r="H1455" s="53">
        <v>26000</v>
      </c>
      <c r="I1455" s="53"/>
      <c r="J1455" s="53"/>
      <c r="K1455" s="53"/>
      <c r="L1455" s="53"/>
      <c r="M1455" s="53"/>
      <c r="N1455" s="53"/>
      <c r="O1455" s="53"/>
      <c r="P1455" s="53"/>
      <c r="Q1455" s="53"/>
    </row>
    <row r="1456" spans="1:17">
      <c r="A1456" s="11">
        <f t="shared" si="22"/>
        <v>1455</v>
      </c>
      <c r="B1456" s="53" t="s">
        <v>1585</v>
      </c>
      <c r="C1456" s="53" t="s">
        <v>1592</v>
      </c>
      <c r="D1456" s="53"/>
      <c r="E1456" s="53"/>
      <c r="F1456" s="53" t="s">
        <v>11</v>
      </c>
      <c r="G1456" s="53">
        <v>33300</v>
      </c>
      <c r="H1456" s="53">
        <v>30000</v>
      </c>
      <c r="I1456" s="53"/>
      <c r="J1456" s="53"/>
      <c r="K1456" s="53"/>
      <c r="L1456" s="53"/>
      <c r="M1456" s="53"/>
      <c r="N1456" s="53"/>
      <c r="O1456" s="53"/>
      <c r="P1456" s="53"/>
      <c r="Q1456" s="53"/>
    </row>
    <row r="1457" spans="1:17">
      <c r="A1457" s="11">
        <f t="shared" si="22"/>
        <v>1456</v>
      </c>
      <c r="B1457" s="53" t="s">
        <v>1586</v>
      </c>
      <c r="C1457" s="53" t="s">
        <v>1593</v>
      </c>
      <c r="D1457" s="53"/>
      <c r="E1457" s="53"/>
      <c r="F1457" s="53" t="s">
        <v>11</v>
      </c>
      <c r="G1457" s="53">
        <v>43845.000000000007</v>
      </c>
      <c r="H1457" s="53">
        <v>39500</v>
      </c>
      <c r="I1457" s="53"/>
      <c r="J1457" s="53"/>
      <c r="K1457" s="53"/>
      <c r="L1457" s="53"/>
      <c r="M1457" s="53"/>
      <c r="N1457" s="53"/>
      <c r="O1457" s="53"/>
      <c r="P1457" s="53"/>
      <c r="Q1457" s="53"/>
    </row>
    <row r="1458" spans="1:17">
      <c r="A1458" s="11">
        <f t="shared" si="22"/>
        <v>1457</v>
      </c>
      <c r="B1458" s="53" t="s">
        <v>1587</v>
      </c>
      <c r="C1458" s="53" t="s">
        <v>1594</v>
      </c>
      <c r="D1458" s="53"/>
      <c r="E1458" s="53"/>
      <c r="F1458" s="53" t="s">
        <v>11</v>
      </c>
      <c r="G1458" s="53">
        <v>72150</v>
      </c>
      <c r="H1458" s="53">
        <v>65000</v>
      </c>
      <c r="I1458" s="53"/>
      <c r="J1458" s="53"/>
      <c r="K1458" s="53"/>
      <c r="L1458" s="53"/>
      <c r="M1458" s="53"/>
      <c r="N1458" s="53"/>
      <c r="O1458" s="53"/>
      <c r="P1458" s="53"/>
      <c r="Q1458" s="53"/>
    </row>
    <row r="1459" spans="1:17">
      <c r="A1459" s="11">
        <f t="shared" si="22"/>
        <v>1458</v>
      </c>
      <c r="B1459" s="53" t="s">
        <v>1588</v>
      </c>
      <c r="C1459" s="53" t="s">
        <v>1595</v>
      </c>
      <c r="D1459" s="53"/>
      <c r="E1459" s="53"/>
      <c r="F1459" s="53" t="s">
        <v>11</v>
      </c>
      <c r="G1459" s="53">
        <v>92130.000000000015</v>
      </c>
      <c r="H1459" s="53">
        <v>83000</v>
      </c>
      <c r="I1459" s="53"/>
      <c r="J1459" s="53"/>
      <c r="K1459" s="53"/>
      <c r="L1459" s="53"/>
      <c r="M1459" s="53"/>
      <c r="N1459" s="53"/>
      <c r="O1459" s="53"/>
      <c r="P1459" s="53"/>
      <c r="Q1459" s="53"/>
    </row>
    <row r="1460" spans="1:17">
      <c r="A1460" s="11">
        <f t="shared" si="22"/>
        <v>1459</v>
      </c>
      <c r="B1460" s="53" t="s">
        <v>1589</v>
      </c>
      <c r="C1460" s="53" t="s">
        <v>1596</v>
      </c>
      <c r="D1460" s="53"/>
      <c r="E1460" s="53"/>
      <c r="F1460" s="53" t="s">
        <v>11</v>
      </c>
      <c r="G1460" s="53">
        <v>109890.00000000001</v>
      </c>
      <c r="H1460" s="53">
        <v>99000</v>
      </c>
      <c r="I1460" s="53"/>
      <c r="J1460" s="53"/>
      <c r="K1460" s="53"/>
      <c r="L1460" s="53"/>
      <c r="M1460" s="53"/>
      <c r="N1460" s="53"/>
      <c r="O1460" s="53"/>
      <c r="P1460" s="53"/>
      <c r="Q1460" s="53"/>
    </row>
    <row r="1461" spans="1:17">
      <c r="A1461" s="11">
        <f t="shared" si="22"/>
        <v>1460</v>
      </c>
      <c r="B1461" s="53" t="s">
        <v>1590</v>
      </c>
      <c r="C1461" s="53" t="s">
        <v>1597</v>
      </c>
      <c r="D1461" s="53"/>
      <c r="E1461" s="53"/>
      <c r="F1461" s="53" t="s">
        <v>11</v>
      </c>
      <c r="G1461" s="53">
        <v>197580.00000000003</v>
      </c>
      <c r="H1461" s="53">
        <v>178000</v>
      </c>
      <c r="I1461" s="53"/>
      <c r="J1461" s="53"/>
      <c r="K1461" s="53"/>
      <c r="L1461" s="53"/>
      <c r="M1461" s="53"/>
      <c r="N1461" s="53"/>
      <c r="O1461" s="53"/>
      <c r="P1461" s="53"/>
      <c r="Q1461" s="53"/>
    </row>
    <row r="1462" spans="1:17">
      <c r="A1462" s="11">
        <f t="shared" si="22"/>
        <v>1461</v>
      </c>
      <c r="B1462" s="53" t="s">
        <v>1451</v>
      </c>
      <c r="C1462" s="53" t="s">
        <v>1598</v>
      </c>
      <c r="D1462" s="53"/>
      <c r="E1462" s="53"/>
      <c r="F1462" s="53" t="s">
        <v>11</v>
      </c>
      <c r="G1462" s="53">
        <v>13320.000000000002</v>
      </c>
      <c r="H1462" s="53">
        <v>12000</v>
      </c>
      <c r="I1462" s="53"/>
      <c r="J1462" s="53"/>
      <c r="K1462" s="53"/>
      <c r="L1462" s="53"/>
      <c r="M1462" s="53"/>
      <c r="N1462" s="53"/>
      <c r="O1462" s="53"/>
      <c r="P1462" s="53"/>
      <c r="Q1462" s="53"/>
    </row>
    <row r="1463" spans="1:17">
      <c r="A1463" s="11">
        <f t="shared" si="22"/>
        <v>1462</v>
      </c>
      <c r="B1463" s="53" t="s">
        <v>1449</v>
      </c>
      <c r="C1463" s="53" t="s">
        <v>1599</v>
      </c>
      <c r="D1463" s="53"/>
      <c r="E1463" s="53"/>
      <c r="F1463" s="53" t="s">
        <v>11</v>
      </c>
      <c r="G1463" s="53">
        <v>5439.0000000000009</v>
      </c>
      <c r="H1463" s="53">
        <v>4900</v>
      </c>
      <c r="I1463" s="53"/>
      <c r="J1463" s="53"/>
      <c r="K1463" s="53"/>
      <c r="L1463" s="53"/>
      <c r="M1463" s="53"/>
      <c r="N1463" s="53"/>
      <c r="O1463" s="53"/>
      <c r="P1463" s="53"/>
      <c r="Q1463" s="53"/>
    </row>
    <row r="1464" spans="1:17">
      <c r="A1464" s="11">
        <f t="shared" si="22"/>
        <v>1463</v>
      </c>
      <c r="B1464" s="53" t="s">
        <v>1450</v>
      </c>
      <c r="C1464" s="53" t="s">
        <v>1600</v>
      </c>
      <c r="D1464" s="53"/>
      <c r="E1464" s="53"/>
      <c r="F1464" s="53" t="s">
        <v>11</v>
      </c>
      <c r="G1464" s="53">
        <v>7936.5000000000009</v>
      </c>
      <c r="H1464" s="53">
        <v>7150</v>
      </c>
      <c r="I1464" s="53"/>
      <c r="J1464" s="53"/>
      <c r="K1464" s="53"/>
      <c r="L1464" s="53"/>
      <c r="M1464" s="53"/>
      <c r="N1464" s="53"/>
      <c r="O1464" s="53"/>
      <c r="P1464" s="53"/>
      <c r="Q1464" s="53"/>
    </row>
    <row r="1465" spans="1:17">
      <c r="A1465" s="11">
        <f t="shared" si="22"/>
        <v>1464</v>
      </c>
      <c r="B1465" s="53" t="s">
        <v>1452</v>
      </c>
      <c r="C1465" s="53" t="s">
        <v>1601</v>
      </c>
      <c r="D1465" s="53"/>
      <c r="E1465" s="53"/>
      <c r="F1465" s="53" t="s">
        <v>11</v>
      </c>
      <c r="G1465" s="53">
        <v>20313</v>
      </c>
      <c r="H1465" s="53">
        <v>18300</v>
      </c>
      <c r="I1465" s="53"/>
      <c r="J1465" s="53"/>
      <c r="K1465" s="53"/>
      <c r="L1465" s="53"/>
      <c r="M1465" s="53"/>
      <c r="N1465" s="53"/>
      <c r="O1465" s="53"/>
      <c r="P1465" s="53"/>
      <c r="Q1465" s="53"/>
    </row>
    <row r="1466" spans="1:17">
      <c r="A1466" s="11">
        <f t="shared" si="22"/>
        <v>1465</v>
      </c>
      <c r="B1466" s="53" t="s">
        <v>1453</v>
      </c>
      <c r="C1466" s="53" t="s">
        <v>1602</v>
      </c>
      <c r="D1466" s="53"/>
      <c r="E1466" s="53"/>
      <c r="F1466" s="53" t="s">
        <v>11</v>
      </c>
      <c r="G1466" s="53">
        <v>27972.000000000004</v>
      </c>
      <c r="H1466" s="53">
        <v>25200</v>
      </c>
      <c r="I1466" s="53"/>
      <c r="J1466" s="53"/>
      <c r="K1466" s="53"/>
      <c r="L1466" s="53"/>
      <c r="M1466" s="53"/>
      <c r="N1466" s="53"/>
      <c r="O1466" s="53"/>
      <c r="P1466" s="53"/>
      <c r="Q1466" s="53"/>
    </row>
    <row r="1467" spans="1:17">
      <c r="A1467" s="11">
        <f t="shared" si="22"/>
        <v>1466</v>
      </c>
      <c r="B1467" s="53" t="s">
        <v>1454</v>
      </c>
      <c r="C1467" s="53" t="s">
        <v>1603</v>
      </c>
      <c r="D1467" s="53"/>
      <c r="E1467" s="53"/>
      <c r="F1467" s="53" t="s">
        <v>11</v>
      </c>
      <c r="G1467" s="53">
        <v>41958.000000000007</v>
      </c>
      <c r="H1467" s="53">
        <v>37800</v>
      </c>
      <c r="I1467" s="53"/>
      <c r="J1467" s="53"/>
      <c r="K1467" s="53"/>
      <c r="L1467" s="53"/>
      <c r="M1467" s="53"/>
      <c r="N1467" s="53"/>
      <c r="O1467" s="53"/>
      <c r="P1467" s="53"/>
      <c r="Q1467" s="53"/>
    </row>
    <row r="1468" spans="1:17">
      <c r="A1468" s="11">
        <f t="shared" si="22"/>
        <v>1467</v>
      </c>
      <c r="B1468" s="53" t="s">
        <v>1455</v>
      </c>
      <c r="C1468" s="53" t="s">
        <v>1604</v>
      </c>
      <c r="D1468" s="53"/>
      <c r="E1468" s="53"/>
      <c r="F1468" s="53" t="s">
        <v>11</v>
      </c>
      <c r="G1468" s="53">
        <v>72150</v>
      </c>
      <c r="H1468" s="53">
        <v>65000</v>
      </c>
      <c r="I1468" s="53"/>
      <c r="J1468" s="53"/>
      <c r="K1468" s="53"/>
      <c r="L1468" s="53"/>
      <c r="M1468" s="53"/>
      <c r="N1468" s="53"/>
      <c r="O1468" s="53"/>
      <c r="P1468" s="53"/>
      <c r="Q1468" s="53"/>
    </row>
    <row r="1469" spans="1:17">
      <c r="A1469" s="11">
        <f t="shared" si="22"/>
        <v>1468</v>
      </c>
      <c r="B1469" s="53" t="s">
        <v>1456</v>
      </c>
      <c r="C1469" s="53" t="s">
        <v>1605</v>
      </c>
      <c r="D1469" s="53"/>
      <c r="E1469" s="53"/>
      <c r="F1469" s="53" t="s">
        <v>11</v>
      </c>
      <c r="G1469" s="53">
        <v>130980.00000000001</v>
      </c>
      <c r="H1469" s="53">
        <v>118000</v>
      </c>
      <c r="I1469" s="53"/>
      <c r="J1469" s="53"/>
      <c r="K1469" s="53"/>
      <c r="L1469" s="53"/>
      <c r="M1469" s="53"/>
      <c r="N1469" s="53"/>
      <c r="O1469" s="53"/>
      <c r="P1469" s="53"/>
      <c r="Q1469" s="53"/>
    </row>
    <row r="1470" spans="1:17">
      <c r="A1470" s="11">
        <f t="shared" si="22"/>
        <v>1469</v>
      </c>
      <c r="B1470" s="53" t="s">
        <v>1457</v>
      </c>
      <c r="C1470" s="53" t="s">
        <v>1606</v>
      </c>
      <c r="D1470" s="53"/>
      <c r="E1470" s="53"/>
      <c r="F1470" s="53" t="s">
        <v>11</v>
      </c>
      <c r="G1470" s="53">
        <v>239760.00000000003</v>
      </c>
      <c r="H1470" s="53">
        <v>216000</v>
      </c>
      <c r="I1470" s="53"/>
      <c r="J1470" s="53"/>
      <c r="K1470" s="53"/>
      <c r="L1470" s="53"/>
      <c r="M1470" s="53"/>
      <c r="N1470" s="53"/>
      <c r="O1470" s="53"/>
      <c r="P1470" s="53"/>
      <c r="Q1470" s="53"/>
    </row>
    <row r="1471" spans="1:17" s="36" customFormat="1" ht="14.4">
      <c r="A1471" s="11">
        <f t="shared" si="22"/>
        <v>1470</v>
      </c>
      <c r="B1471" s="56"/>
      <c r="C1471" s="58" t="str">
        <f ca="1">IFERROR(__xludf.DUMMYFUNCTION("GOOGLETRANSLATE(B2,""en"",""zh"")"),"莱姆 PVC / 400g - ISARPLAS")</f>
        <v>莱姆 PVC / 400g - ISARPLAS</v>
      </c>
      <c r="D1471" s="56"/>
      <c r="E1471" s="56"/>
      <c r="F1471" s="56" t="s">
        <v>11</v>
      </c>
      <c r="G1471" s="56">
        <v>47999.999999999956</v>
      </c>
      <c r="H1471" s="59">
        <v>43243.243243243203</v>
      </c>
      <c r="I1471" s="56"/>
      <c r="J1471" s="56"/>
      <c r="K1471" s="56"/>
      <c r="L1471" s="56"/>
      <c r="M1471" s="56"/>
      <c r="N1471" s="56"/>
      <c r="O1471" s="56"/>
      <c r="P1471" s="56"/>
      <c r="Q1471" s="56"/>
    </row>
  </sheetData>
  <autoFilter ref="A1:T1471" xr:uid="{00000000-0009-0000-0000-000000000000}">
    <sortState xmlns:xlrd2="http://schemas.microsoft.com/office/spreadsheetml/2017/richdata2" ref="A2:T1347">
      <sortCondition ref="B1:B1338"/>
    </sortState>
  </autoFilter>
  <phoneticPr fontId="9" type="noConversion"/>
  <conditionalFormatting sqref="A2:A1471">
    <cfRule type="duplicateValues" dxfId="11" priority="1761"/>
  </conditionalFormatting>
  <conditionalFormatting sqref="B2:B298">
    <cfRule type="duplicateValues" dxfId="10" priority="1763"/>
  </conditionalFormatting>
  <conditionalFormatting sqref="B2:B1297">
    <cfRule type="duplicateValues" dxfId="9" priority="1765"/>
  </conditionalFormatting>
  <conditionalFormatting sqref="B312:B315">
    <cfRule type="duplicateValues" dxfId="8" priority="26"/>
  </conditionalFormatting>
  <conditionalFormatting sqref="B316:B322">
    <cfRule type="duplicateValues" dxfId="7" priority="24"/>
  </conditionalFormatting>
  <conditionalFormatting sqref="B323:B361">
    <cfRule type="duplicateValues" dxfId="6" priority="20"/>
  </conditionalFormatting>
  <conditionalFormatting sqref="B362">
    <cfRule type="duplicateValues" dxfId="5" priority="18"/>
  </conditionalFormatting>
  <conditionalFormatting sqref="B363:B364">
    <cfRule type="duplicateValues" dxfId="4" priority="16"/>
  </conditionalFormatting>
  <conditionalFormatting sqref="B365">
    <cfRule type="duplicateValues" dxfId="3" priority="14"/>
  </conditionalFormatting>
  <conditionalFormatting sqref="B366:B369">
    <cfRule type="duplicateValues" dxfId="2" priority="12"/>
  </conditionalFormatting>
  <conditionalFormatting sqref="B370:B371">
    <cfRule type="duplicateValues" dxfId="1" priority="8"/>
  </conditionalFormatting>
  <conditionalFormatting sqref="B372:B1068">
    <cfRule type="duplicateValues" dxfId="0" priority="1634"/>
  </conditionalFormatting>
  <pageMargins left="0.75" right="0.75" top="1" bottom="1" header="0.5" footer="0.5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68DF-EDD5-4BD3-9B5B-2A5E5CBDF2D5}">
  <dimension ref="A3:H17"/>
  <sheetViews>
    <sheetView workbookViewId="0">
      <selection activeCell="E23" sqref="E23"/>
    </sheetView>
  </sheetViews>
  <sheetFormatPr defaultRowHeight="13.2"/>
  <cols>
    <col min="1" max="1" width="13.5546875" style="41" bestFit="1" customWidth="1"/>
    <col min="2" max="2" width="47.109375" style="41" bestFit="1" customWidth="1"/>
    <col min="3" max="3" width="11.77734375" style="41" customWidth="1"/>
    <col min="4" max="5" width="18.21875" style="41" customWidth="1"/>
    <col min="6" max="8" width="11.77734375" style="41" customWidth="1"/>
  </cols>
  <sheetData>
    <row r="3" spans="1:5">
      <c r="D3" s="51" t="s">
        <v>1473</v>
      </c>
      <c r="E3" s="49" t="s">
        <v>1472</v>
      </c>
    </row>
    <row r="4" spans="1:5">
      <c r="D4" s="47" t="s">
        <v>1471</v>
      </c>
      <c r="E4" s="47" t="s">
        <v>1471</v>
      </c>
    </row>
    <row r="5" spans="1:5">
      <c r="D5" s="47" t="s">
        <v>1438</v>
      </c>
      <c r="E5" s="47" t="s">
        <v>1438</v>
      </c>
    </row>
    <row r="6" spans="1:5" ht="14.4">
      <c r="A6" s="48">
        <v>8010071288</v>
      </c>
      <c r="B6" s="48" t="s">
        <v>1467</v>
      </c>
      <c r="C6" s="48" t="s">
        <v>1468</v>
      </c>
      <c r="D6" s="50">
        <v>228832</v>
      </c>
      <c r="E6" s="50">
        <v>220724.32432432429</v>
      </c>
    </row>
    <row r="7" spans="1:5" ht="14.4">
      <c r="A7" s="48">
        <v>8030020851</v>
      </c>
      <c r="B7" s="48" t="s">
        <v>1469</v>
      </c>
      <c r="C7" s="48" t="s">
        <v>1470</v>
      </c>
      <c r="D7" s="50">
        <v>3405</v>
      </c>
      <c r="E7" s="50">
        <v>3310.8108108108104</v>
      </c>
    </row>
    <row r="17" spans="2:5">
      <c r="B17" s="41" t="s">
        <v>1607</v>
      </c>
      <c r="D17" s="41">
        <v>47999.999999999956</v>
      </c>
      <c r="E17" s="57">
        <v>43243.243243243203</v>
      </c>
    </row>
  </sheetData>
  <phoneticPr fontId="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"/>
  <sheetViews>
    <sheetView workbookViewId="0">
      <selection sqref="A1:F20"/>
    </sheetView>
  </sheetViews>
  <sheetFormatPr defaultColWidth="9" defaultRowHeight="13.2"/>
  <sheetData>
    <row r="1" spans="1:6" ht="14.4">
      <c r="A1" s="1" t="s">
        <v>1410</v>
      </c>
      <c r="B1" s="1" t="s">
        <v>1411</v>
      </c>
      <c r="C1" s="1" t="s">
        <v>6</v>
      </c>
      <c r="D1" s="1" t="s">
        <v>6</v>
      </c>
      <c r="E1" s="1" t="s">
        <v>1412</v>
      </c>
      <c r="F1" s="2" t="s">
        <v>4</v>
      </c>
    </row>
    <row r="2" spans="1:6">
      <c r="A2" s="3" t="s">
        <v>1413</v>
      </c>
      <c r="B2" s="4" t="s">
        <v>1414</v>
      </c>
      <c r="C2" s="3" t="s">
        <v>1191</v>
      </c>
      <c r="D2" s="3" t="s">
        <v>1187</v>
      </c>
      <c r="E2" s="5">
        <v>0.56000000000000005</v>
      </c>
      <c r="F2" s="6">
        <f>1-E2</f>
        <v>0.44</v>
      </c>
    </row>
    <row r="3" spans="1:6">
      <c r="A3" s="3" t="s">
        <v>1413</v>
      </c>
      <c r="B3" s="4" t="s">
        <v>1415</v>
      </c>
      <c r="C3" s="3" t="s">
        <v>1416</v>
      </c>
      <c r="D3" s="3" t="s">
        <v>1187</v>
      </c>
      <c r="E3" s="5">
        <v>0.8</v>
      </c>
      <c r="F3" s="6">
        <f t="shared" ref="F3:F19" si="0">1-E3</f>
        <v>0.2</v>
      </c>
    </row>
    <row r="4" spans="1:6">
      <c r="A4" s="3" t="s">
        <v>1413</v>
      </c>
      <c r="B4" s="4" t="s">
        <v>1417</v>
      </c>
      <c r="C4" s="3" t="s">
        <v>1190</v>
      </c>
      <c r="D4" s="3" t="s">
        <v>1187</v>
      </c>
      <c r="E4" s="5">
        <v>0.78</v>
      </c>
      <c r="F4" s="6">
        <f t="shared" si="0"/>
        <v>0.22</v>
      </c>
    </row>
    <row r="5" spans="1:6">
      <c r="A5" s="3" t="s">
        <v>1413</v>
      </c>
      <c r="B5" s="4" t="s">
        <v>1418</v>
      </c>
      <c r="C5" s="3" t="s">
        <v>1419</v>
      </c>
      <c r="D5" s="3" t="s">
        <v>1187</v>
      </c>
      <c r="E5" s="5">
        <v>0.66</v>
      </c>
      <c r="F5" s="6">
        <f t="shared" si="0"/>
        <v>0.34</v>
      </c>
    </row>
    <row r="6" spans="1:6">
      <c r="A6" s="3" t="s">
        <v>1413</v>
      </c>
      <c r="B6" s="4" t="s">
        <v>1420</v>
      </c>
      <c r="C6" s="3" t="s">
        <v>1077</v>
      </c>
      <c r="D6" s="3" t="s">
        <v>654</v>
      </c>
      <c r="E6" s="7">
        <v>0.55000000000000004</v>
      </c>
      <c r="F6" s="6">
        <f t="shared" si="0"/>
        <v>0.45</v>
      </c>
    </row>
    <row r="7" spans="1:6">
      <c r="A7" s="3" t="s">
        <v>1413</v>
      </c>
      <c r="B7" s="4" t="s">
        <v>1421</v>
      </c>
      <c r="C7" s="3" t="s">
        <v>834</v>
      </c>
      <c r="D7" s="3" t="s">
        <v>654</v>
      </c>
      <c r="E7" s="7">
        <v>0.6</v>
      </c>
      <c r="F7" s="6">
        <f t="shared" si="0"/>
        <v>0.4</v>
      </c>
    </row>
    <row r="8" spans="1:6">
      <c r="A8" s="3" t="s">
        <v>1413</v>
      </c>
      <c r="B8" s="4" t="s">
        <v>1422</v>
      </c>
      <c r="C8" s="3" t="s">
        <v>540</v>
      </c>
      <c r="D8" s="3" t="s">
        <v>367</v>
      </c>
      <c r="E8" s="7">
        <v>0.76</v>
      </c>
      <c r="F8" s="6">
        <f t="shared" si="0"/>
        <v>0.24</v>
      </c>
    </row>
    <row r="9" spans="1:6">
      <c r="A9" s="3" t="s">
        <v>1413</v>
      </c>
      <c r="B9" s="4" t="s">
        <v>1423</v>
      </c>
      <c r="C9" s="3" t="s">
        <v>532</v>
      </c>
      <c r="D9" s="3" t="s">
        <v>367</v>
      </c>
      <c r="E9" s="7">
        <v>0.73</v>
      </c>
      <c r="F9" s="6">
        <f t="shared" si="0"/>
        <v>0.27</v>
      </c>
    </row>
    <row r="10" spans="1:6">
      <c r="A10" s="3" t="s">
        <v>1413</v>
      </c>
      <c r="B10" s="4" t="s">
        <v>1424</v>
      </c>
      <c r="C10" s="3" t="s">
        <v>1425</v>
      </c>
      <c r="D10" s="3" t="s">
        <v>367</v>
      </c>
      <c r="E10" s="7">
        <v>0.54</v>
      </c>
      <c r="F10" s="6">
        <f t="shared" si="0"/>
        <v>0.46</v>
      </c>
    </row>
    <row r="11" spans="1:6">
      <c r="A11" s="3" t="s">
        <v>1413</v>
      </c>
      <c r="B11" s="4" t="s">
        <v>1426</v>
      </c>
      <c r="C11" s="3" t="s">
        <v>1427</v>
      </c>
      <c r="D11" s="3" t="s">
        <v>367</v>
      </c>
      <c r="E11" s="7">
        <v>0.67</v>
      </c>
      <c r="F11" s="6">
        <f t="shared" si="0"/>
        <v>0.33</v>
      </c>
    </row>
    <row r="12" spans="1:6">
      <c r="A12" s="3" t="s">
        <v>1413</v>
      </c>
      <c r="B12" s="4" t="s">
        <v>1428</v>
      </c>
      <c r="C12" s="3" t="s">
        <v>1429</v>
      </c>
      <c r="D12" s="3" t="s">
        <v>12</v>
      </c>
      <c r="E12" s="7">
        <v>0.39</v>
      </c>
      <c r="F12" s="6">
        <f t="shared" si="0"/>
        <v>0.61</v>
      </c>
    </row>
    <row r="13" spans="1:6">
      <c r="A13" s="3" t="s">
        <v>1413</v>
      </c>
      <c r="B13" s="4" t="s">
        <v>1430</v>
      </c>
      <c r="C13" s="3" t="s">
        <v>265</v>
      </c>
      <c r="D13" s="3" t="s">
        <v>12</v>
      </c>
      <c r="E13" s="7">
        <v>0.47</v>
      </c>
      <c r="F13" s="6">
        <f t="shared" si="0"/>
        <v>0.53</v>
      </c>
    </row>
    <row r="14" spans="1:6">
      <c r="A14" s="3" t="s">
        <v>1413</v>
      </c>
      <c r="B14" s="4" t="s">
        <v>1431</v>
      </c>
      <c r="C14" s="3" t="s">
        <v>255</v>
      </c>
      <c r="D14" s="3" t="s">
        <v>253</v>
      </c>
      <c r="E14" s="7">
        <v>0.38</v>
      </c>
      <c r="F14" s="6">
        <f t="shared" si="0"/>
        <v>0.62</v>
      </c>
    </row>
    <row r="15" spans="1:6">
      <c r="A15" s="3" t="s">
        <v>1413</v>
      </c>
      <c r="B15" s="4" t="s">
        <v>1432</v>
      </c>
      <c r="C15" s="3" t="s">
        <v>242</v>
      </c>
      <c r="D15" s="3" t="s">
        <v>107</v>
      </c>
      <c r="E15" s="7">
        <v>0.39</v>
      </c>
      <c r="F15" s="6">
        <f t="shared" si="0"/>
        <v>0.61</v>
      </c>
    </row>
    <row r="16" spans="1:6">
      <c r="A16" s="3" t="s">
        <v>1413</v>
      </c>
      <c r="B16" s="4" t="s">
        <v>1433</v>
      </c>
      <c r="C16" s="3" t="s">
        <v>109</v>
      </c>
      <c r="D16" s="3" t="s">
        <v>107</v>
      </c>
      <c r="E16" s="7">
        <v>0.47</v>
      </c>
      <c r="F16" s="6">
        <f t="shared" si="0"/>
        <v>0.53</v>
      </c>
    </row>
    <row r="17" spans="1:6">
      <c r="A17" s="3" t="s">
        <v>1413</v>
      </c>
      <c r="B17" s="4" t="s">
        <v>1434</v>
      </c>
      <c r="C17" s="3" t="s">
        <v>97</v>
      </c>
      <c r="D17" s="3" t="s">
        <v>12</v>
      </c>
      <c r="E17" s="7">
        <v>0.39</v>
      </c>
      <c r="F17" s="6">
        <f t="shared" si="0"/>
        <v>0.61</v>
      </c>
    </row>
    <row r="18" spans="1:6">
      <c r="A18" s="3" t="s">
        <v>1413</v>
      </c>
      <c r="B18" s="4" t="s">
        <v>1435</v>
      </c>
      <c r="C18" s="3" t="s">
        <v>14</v>
      </c>
      <c r="D18" s="3" t="s">
        <v>12</v>
      </c>
      <c r="E18" s="7">
        <v>0.47</v>
      </c>
      <c r="F18" s="6">
        <f t="shared" si="0"/>
        <v>0.53</v>
      </c>
    </row>
    <row r="19" spans="1:6">
      <c r="A19" s="3" t="s">
        <v>1413</v>
      </c>
      <c r="B19" s="4" t="s">
        <v>1436</v>
      </c>
      <c r="C19" s="3" t="s">
        <v>656</v>
      </c>
      <c r="D19" s="3" t="s">
        <v>654</v>
      </c>
      <c r="E19" s="7">
        <v>0.52</v>
      </c>
      <c r="F19" s="6">
        <f t="shared" si="0"/>
        <v>0.48</v>
      </c>
    </row>
    <row r="20" spans="1:6" ht="14.4">
      <c r="A20" s="3" t="s">
        <v>1413</v>
      </c>
      <c r="B20" s="3" t="s">
        <v>1437</v>
      </c>
      <c r="C20" s="8" t="s">
        <v>1192</v>
      </c>
      <c r="D20" s="8" t="s">
        <v>1187</v>
      </c>
      <c r="E20" s="9"/>
      <c r="F20" s="5"/>
    </row>
  </sheetData>
  <phoneticPr fontId="9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正常销售价格（面价下浮）</vt:lpstr>
      <vt:lpstr>需核查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 WebAS</dc:creator>
  <cp:lastModifiedBy>嘉诚 祐</cp:lastModifiedBy>
  <cp:revision>1</cp:revision>
  <cp:lastPrinted>2024-09-19T03:49:00Z</cp:lastPrinted>
  <dcterms:created xsi:type="dcterms:W3CDTF">2025-06-23T04:16:00Z</dcterms:created>
  <dcterms:modified xsi:type="dcterms:W3CDTF">2025-06-24T15:08:43Z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067C795B87EB40C8AE5C1D0ACD3A67B2_13</vt:lpwstr>
  </property>
  <property fmtid="{D5CDD505-2E9C-101B-9397-08002B2CF9AE}" pid="3" name="KSOProductBuildVer">
    <vt:lpwstr>2052-12.1.0.21541</vt:lpwstr>
  </property>
</Properties>
</file>